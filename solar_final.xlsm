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onai\Downloads\"/>
    </mc:Choice>
  </mc:AlternateContent>
  <xr:revisionPtr revIDLastSave="0" documentId="13_ncr:1_{2402E692-07B9-42AE-9080-046D16B60905}" xr6:coauthVersionLast="47" xr6:coauthVersionMax="47" xr10:uidLastSave="{00000000-0000-0000-0000-000000000000}"/>
  <bookViews>
    <workbookView xWindow="-108" yWindow="-108" windowWidth="23256" windowHeight="12456" xr2:uid="{A68F8512-BB0A-466C-A97A-F198B8F15814}"/>
  </bookViews>
  <sheets>
    <sheet name="full_filtered_data_first" sheetId="3" r:id="rId1"/>
    <sheet name="subset_data_first" sheetId="4" r:id="rId2"/>
    <sheet name="full_filtered_data_second" sheetId="8" r:id="rId3"/>
    <sheet name="subset_data_second" sheetId="9" r:id="rId4"/>
    <sheet name="full_filtered_data_third" sheetId="11" r:id="rId5"/>
    <sheet name="subset_data_third" sheetId="12" r:id="rId6"/>
    <sheet name="final" sheetId="5" r:id="rId7"/>
  </sheets>
  <definedNames>
    <definedName name="_xlnm._FilterDatabase" localSheetId="4" hidden="1">full_filtered_data_third!$B$3:$Z$30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12" l="1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4" i="12"/>
  <c r="AD41" i="8"/>
  <c r="AC43" i="8"/>
  <c r="AC39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E43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E42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E39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E38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E35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E34" i="8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4" i="9"/>
  <c r="AD40" i="3"/>
  <c r="AC42" i="3"/>
  <c r="AC39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E42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E41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E39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E38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E36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E35" i="3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2" i="4"/>
</calcChain>
</file>

<file path=xl/sharedStrings.xml><?xml version="1.0" encoding="utf-8"?>
<sst xmlns="http://schemas.openxmlformats.org/spreadsheetml/2006/main" count="345" uniqueCount="75">
  <si>
    <t>Column1</t>
  </si>
  <si>
    <t>Solar1</t>
  </si>
  <si>
    <t>Solar2</t>
  </si>
  <si>
    <t>Agni Cool_Floor-1_A Block</t>
  </si>
  <si>
    <t>Agni Cool_Floor-1_E Block</t>
  </si>
  <si>
    <t>Agni Cool_Floor-3_E Block</t>
  </si>
  <si>
    <t>ARCI_Floor-2_E Block</t>
  </si>
  <si>
    <t>ARCI_Floor-7_E Block</t>
  </si>
  <si>
    <t>ARCI_Floor-8_E Block</t>
  </si>
  <si>
    <t>Axxelent_Floor-6_A Block</t>
  </si>
  <si>
    <t>BioIncubator_Floor-3_E Block</t>
  </si>
  <si>
    <t>BioIncubator_Floor-5_C Block</t>
  </si>
  <si>
    <t>CaterPillar_Floor-7_E Block</t>
  </si>
  <si>
    <t>Cewit_Floor-5_A Block</t>
  </si>
  <si>
    <t>Cewit_Floor-6_A Block</t>
  </si>
  <si>
    <t>DRDO_Floor-5_E Block</t>
  </si>
  <si>
    <t>Ginger_Floor-1_E Block</t>
  </si>
  <si>
    <t>HTIC_Floor-5_C Block</t>
  </si>
  <si>
    <t>ICCW_Ground Floor_B Block</t>
  </si>
  <si>
    <t>IFMR_Floor-7_B Block</t>
  </si>
  <si>
    <t>IFMR_Floor-8_E Block</t>
  </si>
  <si>
    <t>IIT Alumni_Floor-10_C Block</t>
  </si>
  <si>
    <t>NMS_Floor-4_E Block</t>
  </si>
  <si>
    <t>NMS_Floor-6_E Block</t>
  </si>
  <si>
    <t>Pifzer_Floor-5_C Block</t>
  </si>
  <si>
    <t>pravartak_Floor-6_B Block</t>
  </si>
  <si>
    <t>Renault Nissan_Floor-4_E Block</t>
  </si>
  <si>
    <t>Renault Nissan_Floor-8_E Block</t>
  </si>
  <si>
    <t>SGRI_Ground Floor_C Block</t>
  </si>
  <si>
    <t>TCS_Floor-2_A Block</t>
  </si>
  <si>
    <t>Uniphore_Floor-4_A Block</t>
  </si>
  <si>
    <t>Uniphore_Floor-8_E Block</t>
  </si>
  <si>
    <t>Total</t>
  </si>
  <si>
    <t>index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</si>
  <si>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</si>
  <si>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</si>
  <si>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</si>
  <si>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</si>
  <si>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</si>
  <si>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</si>
  <si>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</si>
  <si>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</si>
  <si>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</si>
  <si>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</si>
  <si>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</si>
  <si>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</si>
  <si>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</si>
  <si>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</si>
  <si>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</si>
  <si>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</si>
  <si>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</si>
  <si>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</si>
  <si>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</si>
  <si>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</si>
  <si>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</si>
  <si>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</si>
  <si>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</si>
  <si>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</si>
  <si>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solar1_coeff</t>
  </si>
  <si>
    <t>solar2_coeff</t>
  </si>
  <si>
    <t>solar1_result</t>
  </si>
  <si>
    <t>solar2_result</t>
  </si>
  <si>
    <t>solar1_diff</t>
  </si>
  <si>
    <t>solar_coeff_1</t>
  </si>
  <si>
    <t>solar_coeff_2</t>
  </si>
  <si>
    <t>solar_1_result</t>
  </si>
  <si>
    <t>solar_2_result</t>
  </si>
  <si>
    <t>solar1_diff(abs)</t>
  </si>
  <si>
    <t>sola2_diff</t>
  </si>
  <si>
    <t>Backtest</t>
  </si>
  <si>
    <t>solar 2_diff(abs)</t>
  </si>
  <si>
    <t>Total loss</t>
  </si>
  <si>
    <t>solar2_diff(abs)</t>
  </si>
  <si>
    <t>dot product of coeff matrix1 and load(hourly)</t>
  </si>
  <si>
    <t>dot product of coeff matrix2 and load(hourly)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</si>
</sst>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  <xf numFmtId="0" fontId="0" fillId="0" borderId="1" xfId="0" applyBorder="1"/>
    <xf numFmtId="0" fontId="0" fillId="4" borderId="1" xfId="0" applyFill="1" applyBorder="1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0" fillId="4" borderId="0" xfId="0" applyFill="1"/>
    <xf numFmtId="0" fontId="0" fillId="5" borderId="0" xfId="0" applyFill="1"/>
    <xf numFmtId="0" fontId="2" fillId="0" borderId="0" xfId="0" applyFont="1"/>
    <xf numFmtId="0" fontId="2" fillId="4" borderId="0" xfId="0" applyFont="1" applyFill="1"/>
    <xf numFmtId="0" fontId="3" fillId="3" borderId="1" xfId="0" applyFont="1" applyFill="1" applyBorder="1"/>
    <xf numFmtId="0" fontId="3" fillId="6" borderId="0" xfId="0" applyFont="1" applyFill="1"/>
    <xf numFmtId="0" fontId="2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2A122-8E6E-4B85-8F20-4BA657E7B94E}">
  <dimension ref="A1:AD42"/>
  <sheetViews>
    <sheetView tabSelected="1" topLeftCell="H1" workbookViewId="0">
      <selection activeCell="B35" sqref="B35"/>
    </sheetView>
  </sheetViews>
  <sheetFormatPr defaultRowHeight="14.4" x14ac:dyDescent="0.3"/>
  <cols>
    <col min="2" max="2" width="40.109375" bestFit="1" customWidth="1"/>
    <col min="3" max="3" width="11.33203125" bestFit="1" customWidth="1"/>
    <col min="4" max="4" width="27.21875" bestFit="1" customWidth="1"/>
  </cols>
  <sheetData>
    <row r="1" spans="1:28" x14ac:dyDescent="0.3">
      <c r="A1" s="1" t="s">
        <v>33</v>
      </c>
      <c r="B1" s="1" t="s">
        <v>58</v>
      </c>
      <c r="C1" s="1" t="s">
        <v>59</v>
      </c>
      <c r="D1" s="1" t="s">
        <v>0</v>
      </c>
      <c r="E1" s="5" t="s">
        <v>34</v>
      </c>
      <c r="F1" s="5" t="s">
        <v>35</v>
      </c>
      <c r="G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  <c r="L1" s="5" t="s">
        <v>41</v>
      </c>
      <c r="M1" s="5" t="s">
        <v>42</v>
      </c>
      <c r="N1" s="5" t="s">
        <v>43</v>
      </c>
      <c r="O1" s="5" t="s">
        <v>44</v>
      </c>
      <c r="P1" s="5" t="s">
        <v>45</v>
      </c>
      <c r="Q1" s="5" t="s">
        <v>46</v>
      </c>
      <c r="R1" s="5" t="s">
        <v>47</v>
      </c>
      <c r="S1" s="5" t="s">
        <v>48</v>
      </c>
      <c r="T1" s="5" t="s">
        <v>49</v>
      </c>
      <c r="U1" s="5" t="s">
        <v>50</v>
      </c>
      <c r="V1" s="5" t="s">
        <v>51</v>
      </c>
      <c r="W1" s="5" t="s">
        <v>52</v>
      </c>
      <c r="X1" s="5" t="s">
        <v>53</v>
      </c>
      <c r="Y1" s="5" t="s">
        <v>54</v>
      </c>
      <c r="Z1" s="5" t="s">
        <v>55</v>
      </c>
      <c r="AA1" s="5" t="s">
        <v>56</v>
      </c>
      <c r="AB1" s="5" t="s">
        <v>57</v>
      </c>
    </row>
    <row r="2" spans="1:28" x14ac:dyDescent="0.3">
      <c r="A2" s="2"/>
      <c r="B2" s="2"/>
      <c r="C2" s="2"/>
      <c r="D2" s="2" t="s">
        <v>1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1.2391696728483019</v>
      </c>
      <c r="K2" s="2">
        <v>2.8892355003688897</v>
      </c>
      <c r="L2" s="2">
        <v>31.768627931347368</v>
      </c>
      <c r="M2" s="2">
        <v>102.35981789336921</v>
      </c>
      <c r="N2" s="2">
        <v>179.67635463770429</v>
      </c>
      <c r="O2" s="2">
        <v>250.79704277998277</v>
      </c>
      <c r="P2" s="2">
        <v>298.47202026715757</v>
      </c>
      <c r="Q2" s="4">
        <v>303</v>
      </c>
      <c r="R2" s="2">
        <v>294.33778751243517</v>
      </c>
      <c r="S2" s="2">
        <v>263.54456213803229</v>
      </c>
      <c r="T2" s="2">
        <v>192.50810646988162</v>
      </c>
      <c r="U2" s="2">
        <v>108.46363556777368</v>
      </c>
      <c r="V2" s="2">
        <v>34.258632996414271</v>
      </c>
      <c r="W2" s="2">
        <v>10.753954710160615</v>
      </c>
      <c r="X2" s="2">
        <v>0</v>
      </c>
      <c r="Y2" s="2">
        <v>0</v>
      </c>
      <c r="Z2" s="2">
        <v>0</v>
      </c>
      <c r="AA2" s="2">
        <v>0</v>
      </c>
      <c r="AB2" s="2">
        <v>0</v>
      </c>
    </row>
    <row r="3" spans="1:28" x14ac:dyDescent="0.3">
      <c r="A3" s="3"/>
      <c r="B3" s="3"/>
      <c r="C3" s="3"/>
      <c r="D3" s="3" t="s">
        <v>2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9.7461933563203543E-4</v>
      </c>
      <c r="K3" s="3">
        <v>1.6487309765732527</v>
      </c>
      <c r="L3" s="3">
        <v>12.890152296684864</v>
      </c>
      <c r="M3" s="3">
        <v>42.987427961071823</v>
      </c>
      <c r="N3" s="3">
        <v>66.233519043990313</v>
      </c>
      <c r="O3" s="3">
        <v>89.758460594845673</v>
      </c>
      <c r="P3" s="3">
        <v>106.40866825580589</v>
      </c>
      <c r="Q3" s="3">
        <v>110.4793925122369</v>
      </c>
      <c r="R3" s="3">
        <v>106.13792405430267</v>
      </c>
      <c r="S3" s="3">
        <v>95.588293629054732</v>
      </c>
      <c r="T3" s="3">
        <v>74.23384297365628</v>
      </c>
      <c r="U3" s="3">
        <v>46.494298769665662</v>
      </c>
      <c r="V3" s="3">
        <v>18.104222825886325</v>
      </c>
      <c r="W3" s="3">
        <v>2.9005772391074798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2">
        <v>0</v>
      </c>
      <c r="B4">
        <v>1</v>
      </c>
      <c r="C4">
        <v>0</v>
      </c>
      <c r="D4" s="2" t="s">
        <v>3</v>
      </c>
      <c r="E4" s="2">
        <v>5.865442938452599</v>
      </c>
      <c r="F4" s="2">
        <v>14.084890007972717</v>
      </c>
      <c r="G4" s="2">
        <v>14.807862908545147</v>
      </c>
      <c r="H4" s="2">
        <v>14.575781851006834</v>
      </c>
      <c r="I4" s="2">
        <v>13.856695657589762</v>
      </c>
      <c r="J4" s="2">
        <v>13.326889280504828</v>
      </c>
      <c r="K4" s="2">
        <v>13.08731649540089</v>
      </c>
      <c r="L4" s="2">
        <v>13.058464629882915</v>
      </c>
      <c r="M4" s="2">
        <v>13.54130741873303</v>
      </c>
      <c r="N4" s="2">
        <v>14.725333340641626</v>
      </c>
      <c r="O4" s="2">
        <v>16.661762574045952</v>
      </c>
      <c r="P4" s="2">
        <v>18.245030231923867</v>
      </c>
      <c r="Q4" s="2">
        <v>19.830627567816101</v>
      </c>
      <c r="R4" s="2">
        <v>20.578770039876304</v>
      </c>
      <c r="S4" s="2">
        <v>20.769833329518637</v>
      </c>
      <c r="T4" s="2">
        <v>20.862662218087493</v>
      </c>
      <c r="U4" s="2">
        <v>21.328316650390626</v>
      </c>
      <c r="V4" s="2">
        <v>21.52291976648031</v>
      </c>
      <c r="W4" s="2">
        <v>21.384103679338029</v>
      </c>
      <c r="X4" s="2">
        <v>21.311425224887177</v>
      </c>
      <c r="Y4" s="2">
        <v>20.874827275640545</v>
      </c>
      <c r="Z4" s="2">
        <v>20.092438588506756</v>
      </c>
      <c r="AA4" s="2">
        <v>18.719219212516204</v>
      </c>
      <c r="AB4" s="2">
        <v>17.236325527742459</v>
      </c>
    </row>
    <row r="5" spans="1:28" x14ac:dyDescent="0.3">
      <c r="A5" s="3">
        <v>1</v>
      </c>
      <c r="B5">
        <v>0</v>
      </c>
      <c r="C5">
        <v>0</v>
      </c>
      <c r="D5" s="3" t="s">
        <v>4</v>
      </c>
      <c r="E5" s="3">
        <v>5.7440476597375497E-3</v>
      </c>
      <c r="F5" s="3">
        <v>1.2291667007264634E-2</v>
      </c>
      <c r="G5" s="3">
        <v>1.2380952381395865E-2</v>
      </c>
      <c r="H5" s="3">
        <v>1.2386904863108479E-2</v>
      </c>
      <c r="I5" s="3">
        <v>1.2363095612575613E-2</v>
      </c>
      <c r="J5" s="3">
        <v>1.2261904953491115E-2</v>
      </c>
      <c r="K5" s="3">
        <v>1.2248484835480199E-2</v>
      </c>
      <c r="L5" s="3">
        <v>1.2206060631257117E-2</v>
      </c>
      <c r="M5" s="3">
        <v>1.2187879114891543E-2</v>
      </c>
      <c r="N5" s="3">
        <v>1.1915151741016995E-2</v>
      </c>
      <c r="O5" s="3">
        <v>1.7148809693199357E-2</v>
      </c>
      <c r="P5" s="3">
        <v>2.3048780733583168E-2</v>
      </c>
      <c r="Q5" s="3">
        <v>2.4622754603735884E-2</v>
      </c>
      <c r="R5" s="3">
        <v>2.0760479114787976E-2</v>
      </c>
      <c r="S5" s="3">
        <v>2.2664670823392876E-2</v>
      </c>
      <c r="T5" s="3">
        <v>2.4714286184115784E-2</v>
      </c>
      <c r="U5" s="3">
        <v>2.2458333540790982E-2</v>
      </c>
      <c r="V5" s="3">
        <v>1.550898211868759E-2</v>
      </c>
      <c r="W5" s="3">
        <v>2.0335329606610462E-2</v>
      </c>
      <c r="X5" s="3">
        <v>1.5275449363771308E-2</v>
      </c>
      <c r="Y5" s="3">
        <v>1.2101796394336723E-2</v>
      </c>
      <c r="Z5" s="3">
        <v>1.2053571863188632E-2</v>
      </c>
      <c r="AA5" s="3">
        <v>1.2095238082110878E-2</v>
      </c>
      <c r="AB5" s="3">
        <v>1.2166666742857723E-2</v>
      </c>
    </row>
    <row r="6" spans="1:28" x14ac:dyDescent="0.3">
      <c r="A6" s="2">
        <v>2</v>
      </c>
      <c r="B6">
        <v>0</v>
      </c>
      <c r="C6">
        <v>1</v>
      </c>
      <c r="D6" s="2" t="s">
        <v>5</v>
      </c>
      <c r="E6" s="2">
        <v>0.17136170160263142</v>
      </c>
      <c r="F6" s="2">
        <v>0.34786956595337915</v>
      </c>
      <c r="G6" s="2">
        <v>0.36634090915322304</v>
      </c>
      <c r="H6" s="2">
        <v>0.34829545664516359</v>
      </c>
      <c r="I6" s="2">
        <v>0.40721951443247678</v>
      </c>
      <c r="J6" s="2">
        <v>0.39683333287636446</v>
      </c>
      <c r="K6" s="2">
        <v>0.40139024650178307</v>
      </c>
      <c r="L6" s="2">
        <v>0.36019512320437075</v>
      </c>
      <c r="M6" s="2">
        <v>0.62447500340640549</v>
      </c>
      <c r="N6" s="2">
        <v>0.56418420913580203</v>
      </c>
      <c r="O6" s="2">
        <v>0.85682499343529384</v>
      </c>
      <c r="P6" s="2">
        <v>1.0950285630566734</v>
      </c>
      <c r="Q6" s="2">
        <v>1.1365000030232799</v>
      </c>
      <c r="R6" s="2">
        <v>1.0851463362938016</v>
      </c>
      <c r="S6" s="2">
        <v>1.0306410250755467</v>
      </c>
      <c r="T6" s="2">
        <v>1.0047631687239595</v>
      </c>
      <c r="U6" s="2">
        <v>1.1883513488479562</v>
      </c>
      <c r="V6" s="2">
        <v>1.2007027006632576</v>
      </c>
      <c r="W6" s="2">
        <v>1.3079999971546625</v>
      </c>
      <c r="X6" s="2">
        <v>1.2039268238515386</v>
      </c>
      <c r="Y6" s="2">
        <v>54.907101814945669</v>
      </c>
      <c r="Z6" s="2">
        <v>0.72156410263134896</v>
      </c>
      <c r="AA6" s="2">
        <v>0.64273170908776744</v>
      </c>
      <c r="AB6" s="2">
        <v>0.49523077150567985</v>
      </c>
    </row>
    <row r="7" spans="1:28" x14ac:dyDescent="0.3">
      <c r="A7" s="3">
        <v>3</v>
      </c>
      <c r="B7">
        <v>1</v>
      </c>
      <c r="C7">
        <v>0</v>
      </c>
      <c r="D7" s="3" t="s">
        <v>6</v>
      </c>
      <c r="E7" s="3">
        <v>3.4713245377750543</v>
      </c>
      <c r="F7" s="3">
        <v>8.111282331176044</v>
      </c>
      <c r="G7" s="3">
        <v>8.7260500703875721</v>
      </c>
      <c r="H7" s="3">
        <v>8.7003060541555559</v>
      </c>
      <c r="I7" s="3">
        <v>8.6729722275759151</v>
      </c>
      <c r="J7" s="3">
        <v>8.6482743964503506</v>
      </c>
      <c r="K7" s="3">
        <v>8.6236622653174209</v>
      </c>
      <c r="L7" s="3">
        <v>8.5837889226413964</v>
      </c>
      <c r="M7" s="3">
        <v>8.9196310841204784</v>
      </c>
      <c r="N7" s="3">
        <v>13.352357906887406</v>
      </c>
      <c r="O7" s="3">
        <v>18.351643045743305</v>
      </c>
      <c r="P7" s="3">
        <v>19.754222234799748</v>
      </c>
      <c r="Q7" s="3">
        <v>19.797361582241312</v>
      </c>
      <c r="R7" s="3">
        <v>17.873578931155958</v>
      </c>
      <c r="S7" s="3">
        <v>17.798010594314999</v>
      </c>
      <c r="T7" s="3">
        <v>18.854960179060143</v>
      </c>
      <c r="U7" s="3">
        <v>18.50070713558738</v>
      </c>
      <c r="V7" s="3">
        <v>16.999670665260965</v>
      </c>
      <c r="W7" s="3">
        <v>11.104872340613857</v>
      </c>
      <c r="X7" s="3">
        <v>9.3449684068560597</v>
      </c>
      <c r="Y7" s="3">
        <v>8.9501343885036633</v>
      </c>
      <c r="Z7" s="3">
        <v>8.8644026464184389</v>
      </c>
      <c r="AA7" s="3">
        <v>8.7224095176359153</v>
      </c>
      <c r="AB7" s="3">
        <v>8.7258891712549804</v>
      </c>
    </row>
    <row r="8" spans="1:28" x14ac:dyDescent="0.3">
      <c r="A8" s="2">
        <v>4</v>
      </c>
      <c r="B8">
        <v>1</v>
      </c>
      <c r="C8">
        <v>0</v>
      </c>
      <c r="D8" s="2" t="s">
        <v>7</v>
      </c>
      <c r="E8" s="2">
        <v>2.4201945198006487</v>
      </c>
      <c r="F8" s="2">
        <v>4.7407335639434169</v>
      </c>
      <c r="G8" s="2">
        <v>4.9972078211859472</v>
      </c>
      <c r="H8" s="2">
        <v>5.0436280179959052</v>
      </c>
      <c r="I8" s="2">
        <v>4.9265169576375882</v>
      </c>
      <c r="J8" s="2">
        <v>4.9217486576264129</v>
      </c>
      <c r="K8" s="2">
        <v>5.1552289128449829</v>
      </c>
      <c r="L8" s="2">
        <v>5.4167253317365214</v>
      </c>
      <c r="M8" s="2">
        <v>6.2818794527939259</v>
      </c>
      <c r="N8" s="2">
        <v>10.189866627289705</v>
      </c>
      <c r="O8" s="2">
        <v>14.534941890007309</v>
      </c>
      <c r="P8" s="2">
        <v>15.407063375735223</v>
      </c>
      <c r="Q8" s="2">
        <v>15.380825205366254</v>
      </c>
      <c r="R8" s="2">
        <v>14.735653209010987</v>
      </c>
      <c r="S8" s="2">
        <v>14.247459545890674</v>
      </c>
      <c r="T8" s="2">
        <v>14.351304440655642</v>
      </c>
      <c r="U8" s="2">
        <v>13.608772966943194</v>
      </c>
      <c r="V8" s="2">
        <v>11.707000928096454</v>
      </c>
      <c r="W8" s="2">
        <v>7.7425265006146997</v>
      </c>
      <c r="X8" s="2">
        <v>6.2526759340915206</v>
      </c>
      <c r="Y8" s="2">
        <v>5.5222212259365389</v>
      </c>
      <c r="Z8" s="2">
        <v>5.3514950388338756</v>
      </c>
      <c r="AA8" s="2">
        <v>5.1706026878199571</v>
      </c>
      <c r="AB8" s="2">
        <v>5.0505781962138441</v>
      </c>
    </row>
    <row r="9" spans="1:28" x14ac:dyDescent="0.3">
      <c r="A9" s="3">
        <v>5</v>
      </c>
      <c r="B9">
        <v>1</v>
      </c>
      <c r="C9">
        <v>0</v>
      </c>
      <c r="D9" s="3" t="s">
        <v>8</v>
      </c>
      <c r="E9" s="3">
        <v>3.4258395204242476</v>
      </c>
      <c r="F9" s="3">
        <v>7.4039042955576377</v>
      </c>
      <c r="G9" s="3">
        <v>8.00505868702413</v>
      </c>
      <c r="H9" s="3">
        <v>8.0202347480429861</v>
      </c>
      <c r="I9" s="3">
        <v>7.9564038408929125</v>
      </c>
      <c r="J9" s="3">
        <v>7.9448163536514773</v>
      </c>
      <c r="K9" s="3">
        <v>7.8743249188624453</v>
      </c>
      <c r="L9" s="3">
        <v>7.924187505114018</v>
      </c>
      <c r="M9" s="3">
        <v>8.3735185508504735</v>
      </c>
      <c r="N9" s="3">
        <v>8.9086002395415651</v>
      </c>
      <c r="O9" s="3">
        <v>9.4691865883598272</v>
      </c>
      <c r="P9" s="3">
        <v>9.9920000102617834</v>
      </c>
      <c r="Q9" s="3">
        <v>10.215561989797941</v>
      </c>
      <c r="R9" s="3">
        <v>10.326859216236036</v>
      </c>
      <c r="S9" s="3">
        <v>10.229506615365526</v>
      </c>
      <c r="T9" s="3">
        <v>10.270701922431519</v>
      </c>
      <c r="U9" s="3">
        <v>9.9235336608387748</v>
      </c>
      <c r="V9" s="3">
        <v>9.5468564660734803</v>
      </c>
      <c r="W9" s="3">
        <v>8.8729539982135659</v>
      </c>
      <c r="X9" s="3">
        <v>8.4817644393590932</v>
      </c>
      <c r="Y9" s="3">
        <v>8.2243798103299905</v>
      </c>
      <c r="Z9" s="3">
        <v>8.1631164591656589</v>
      </c>
      <c r="AA9" s="3">
        <v>8.0849375022763308</v>
      </c>
      <c r="AB9" s="3">
        <v>7.991442323492195</v>
      </c>
    </row>
    <row r="10" spans="1:28" x14ac:dyDescent="0.3">
      <c r="A10" s="2">
        <v>6</v>
      </c>
      <c r="B10">
        <v>0</v>
      </c>
      <c r="C10">
        <v>1</v>
      </c>
      <c r="D10" s="2" t="s">
        <v>9</v>
      </c>
      <c r="E10" s="2">
        <v>9.9057874728288571</v>
      </c>
      <c r="F10" s="2">
        <v>18.783202182553151</v>
      </c>
      <c r="G10" s="2">
        <v>21.730061603193523</v>
      </c>
      <c r="H10" s="2">
        <v>21.412826832446306</v>
      </c>
      <c r="I10" s="2">
        <v>20.88352548739331</v>
      </c>
      <c r="J10" s="2">
        <v>21.000601177959773</v>
      </c>
      <c r="K10" s="2">
        <v>21.339005821702109</v>
      </c>
      <c r="L10" s="2">
        <v>23.34091068344776</v>
      </c>
      <c r="M10" s="2">
        <v>27.528853086641956</v>
      </c>
      <c r="N10" s="2">
        <v>37.63925211422842</v>
      </c>
      <c r="O10" s="2">
        <v>40.636079703980364</v>
      </c>
      <c r="P10" s="2">
        <v>42.919142074861391</v>
      </c>
      <c r="Q10" s="2">
        <v>43.866495694085394</v>
      </c>
      <c r="R10" s="2">
        <v>41.792653008730696</v>
      </c>
      <c r="S10" s="2">
        <v>42.472401174472147</v>
      </c>
      <c r="T10" s="2">
        <v>45.174314558329144</v>
      </c>
      <c r="U10" s="2">
        <v>42.443534920381943</v>
      </c>
      <c r="V10" s="2">
        <v>40.453602408796812</v>
      </c>
      <c r="W10" s="2">
        <v>36.090932598561487</v>
      </c>
      <c r="X10" s="2">
        <v>30.491720937019171</v>
      </c>
      <c r="Y10" s="2">
        <v>26.693658021567526</v>
      </c>
      <c r="Z10" s="2">
        <v>24.310160960274182</v>
      </c>
      <c r="AA10" s="2">
        <v>22.897103493241062</v>
      </c>
      <c r="AB10" s="2">
        <v>22.058971432277133</v>
      </c>
    </row>
    <row r="11" spans="1:28" x14ac:dyDescent="0.3">
      <c r="A11" s="3">
        <v>7</v>
      </c>
      <c r="B11">
        <v>1</v>
      </c>
      <c r="C11">
        <v>0</v>
      </c>
      <c r="D11" s="3" t="s">
        <v>10</v>
      </c>
      <c r="E11" s="3">
        <v>0.90048784082665512</v>
      </c>
      <c r="F11" s="3">
        <v>1.8720282895656506</v>
      </c>
      <c r="G11" s="3">
        <v>2.0237784144227398</v>
      </c>
      <c r="H11" s="3">
        <v>2.0143209164318385</v>
      </c>
      <c r="I11" s="3">
        <v>1.9905499978583039</v>
      </c>
      <c r="J11" s="3">
        <v>1.9683585714894747</v>
      </c>
      <c r="K11" s="3">
        <v>1.9743712240022691</v>
      </c>
      <c r="L11" s="3">
        <v>1.9674224098149122</v>
      </c>
      <c r="M11" s="3">
        <v>2.0031884853208854</v>
      </c>
      <c r="N11" s="3">
        <v>2.1595295771728318</v>
      </c>
      <c r="O11" s="3">
        <v>2.75807582117362</v>
      </c>
      <c r="P11" s="3">
        <v>3.0125443961232725</v>
      </c>
      <c r="Q11" s="3">
        <v>3.0592510941564139</v>
      </c>
      <c r="R11" s="3">
        <v>3.0966709958505985</v>
      </c>
      <c r="S11" s="3">
        <v>3.0789942569581079</v>
      </c>
      <c r="T11" s="3">
        <v>2.9830815442569638</v>
      </c>
      <c r="U11" s="3">
        <v>3.0299799397933351</v>
      </c>
      <c r="V11" s="3">
        <v>8.083940716038553</v>
      </c>
      <c r="W11" s="3">
        <v>2.8152281239411994</v>
      </c>
      <c r="X11" s="3">
        <v>2.560886521150477</v>
      </c>
      <c r="Y11" s="3">
        <v>2.3228895197135708</v>
      </c>
      <c r="Z11" s="3">
        <v>2.1431499984910314</v>
      </c>
      <c r="AA11" s="3">
        <v>2.055152422163776</v>
      </c>
      <c r="AB11" s="3">
        <v>2.037025679116431</v>
      </c>
    </row>
    <row r="12" spans="1:28" x14ac:dyDescent="0.3">
      <c r="A12" s="2">
        <v>8</v>
      </c>
      <c r="B12">
        <v>1</v>
      </c>
      <c r="C12">
        <v>0</v>
      </c>
      <c r="D12" s="2" t="s">
        <v>11</v>
      </c>
      <c r="E12" s="2">
        <v>1.5604074090108198</v>
      </c>
      <c r="F12" s="2">
        <v>3.149576726315356</v>
      </c>
      <c r="G12" s="2">
        <v>3.4125145877506435</v>
      </c>
      <c r="H12" s="2">
        <v>3.3596874128509042</v>
      </c>
      <c r="I12" s="2">
        <v>3.3415132228028837</v>
      </c>
      <c r="J12" s="2">
        <v>3.2609259295597592</v>
      </c>
      <c r="K12" s="2">
        <v>3.2966170228542166</v>
      </c>
      <c r="L12" s="2">
        <v>3.2481485421050449</v>
      </c>
      <c r="M12" s="2">
        <v>3.2305145897267669</v>
      </c>
      <c r="N12" s="2">
        <v>3.6089561781085346</v>
      </c>
      <c r="O12" s="2">
        <v>4.141857136612531</v>
      </c>
      <c r="P12" s="2">
        <v>4.492495337235785</v>
      </c>
      <c r="Q12" s="2">
        <v>4.6679784958000461</v>
      </c>
      <c r="R12" s="2">
        <v>4.7381119926373163</v>
      </c>
      <c r="S12" s="2">
        <v>4.5975172358419281</v>
      </c>
      <c r="T12" s="2">
        <v>4.576355913008352</v>
      </c>
      <c r="U12" s="2">
        <v>4.5482228121643677</v>
      </c>
      <c r="V12" s="2">
        <v>4.3847765902929163</v>
      </c>
      <c r="W12" s="2">
        <v>4.2503009379386265</v>
      </c>
      <c r="X12" s="2">
        <v>3.8689329695685619</v>
      </c>
      <c r="Y12" s="2">
        <v>3.6548229022207019</v>
      </c>
      <c r="Z12" s="2">
        <v>3.4717177104021362</v>
      </c>
      <c r="AA12" s="2">
        <v>3.426691391768045</v>
      </c>
      <c r="AB12" s="2">
        <v>3.4224031886347723</v>
      </c>
    </row>
    <row r="13" spans="1:28" x14ac:dyDescent="0.3">
      <c r="A13" s="3">
        <v>9</v>
      </c>
      <c r="B13">
        <v>0</v>
      </c>
      <c r="C13">
        <v>0</v>
      </c>
      <c r="D13" s="3" t="s">
        <v>12</v>
      </c>
      <c r="E13" s="3">
        <v>4.833396123582884</v>
      </c>
      <c r="F13" s="3">
        <v>9.218677697492863</v>
      </c>
      <c r="G13" s="3">
        <v>9.7941377415801547</v>
      </c>
      <c r="H13" s="3">
        <v>9.7692649172678401</v>
      </c>
      <c r="I13" s="3">
        <v>9.6709363274792217</v>
      </c>
      <c r="J13" s="3">
        <v>9.681608878685763</v>
      </c>
      <c r="K13" s="3">
        <v>9.8524728780495767</v>
      </c>
      <c r="L13" s="3">
        <v>11.129811139239205</v>
      </c>
      <c r="M13" s="3">
        <v>13.455486023226264</v>
      </c>
      <c r="N13" s="3">
        <v>14.718326368757538</v>
      </c>
      <c r="O13" s="3">
        <v>15.283754878347965</v>
      </c>
      <c r="P13" s="3">
        <v>16.347775882950017</v>
      </c>
      <c r="Q13" s="3">
        <v>17.182881122202307</v>
      </c>
      <c r="R13" s="3">
        <v>17.509068549012806</v>
      </c>
      <c r="S13" s="3">
        <v>17.174208386934978</v>
      </c>
      <c r="T13" s="3">
        <v>16.974361598070733</v>
      </c>
      <c r="U13" s="3">
        <v>16.786298461289586</v>
      </c>
      <c r="V13" s="3">
        <v>16.191854891833568</v>
      </c>
      <c r="W13" s="3">
        <v>15.652050185901849</v>
      </c>
      <c r="X13" s="3">
        <v>14.097997196133001</v>
      </c>
      <c r="Y13" s="3">
        <v>12.925344432476495</v>
      </c>
      <c r="Z13" s="3">
        <v>12.031119749157542</v>
      </c>
      <c r="AA13" s="3">
        <v>10.82965096600168</v>
      </c>
      <c r="AB13" s="3">
        <v>10.113801100677218</v>
      </c>
    </row>
    <row r="14" spans="1:28" x14ac:dyDescent="0.3">
      <c r="A14" s="2">
        <v>10</v>
      </c>
      <c r="B14">
        <v>0</v>
      </c>
      <c r="C14">
        <v>1</v>
      </c>
      <c r="D14" s="2" t="s">
        <v>13</v>
      </c>
      <c r="E14" s="2">
        <v>4.3297903964613198</v>
      </c>
      <c r="F14" s="2">
        <v>7.2236244439037609</v>
      </c>
      <c r="G14" s="2">
        <v>7.8540130785979558</v>
      </c>
      <c r="H14" s="2">
        <v>7.8968340528063381</v>
      </c>
      <c r="I14" s="2">
        <v>7.7771615690539502</v>
      </c>
      <c r="J14" s="2">
        <v>7.7935196593338745</v>
      </c>
      <c r="K14" s="2">
        <v>7.8290524107920554</v>
      </c>
      <c r="L14" s="2">
        <v>7.8052707363944904</v>
      </c>
      <c r="M14" s="2">
        <v>8.4180916927787397</v>
      </c>
      <c r="N14" s="2">
        <v>11.789759790012409</v>
      </c>
      <c r="O14" s="2">
        <v>12.762279464688364</v>
      </c>
      <c r="P14" s="2">
        <v>12.847899567091829</v>
      </c>
      <c r="Q14" s="2">
        <v>13.116720532746294</v>
      </c>
      <c r="R14" s="2">
        <v>12.343649115478783</v>
      </c>
      <c r="S14" s="2">
        <v>12.238800873798606</v>
      </c>
      <c r="T14" s="2">
        <v>12.755031094021268</v>
      </c>
      <c r="U14" s="2">
        <v>12.686734511788968</v>
      </c>
      <c r="V14" s="2">
        <v>12.636678452008624</v>
      </c>
      <c r="W14" s="2">
        <v>10.424776332420215</v>
      </c>
      <c r="X14" s="2">
        <v>9.0037092427325138</v>
      </c>
      <c r="Y14" s="2">
        <v>8.2972995594209511</v>
      </c>
      <c r="Z14" s="2">
        <v>8.0119167001623861</v>
      </c>
      <c r="AA14" s="2">
        <v>7.9496622692074688</v>
      </c>
      <c r="AB14" s="2">
        <v>8.005964758112567</v>
      </c>
    </row>
    <row r="15" spans="1:28" x14ac:dyDescent="0.3">
      <c r="A15" s="3">
        <v>11</v>
      </c>
      <c r="B15">
        <v>0</v>
      </c>
      <c r="C15">
        <v>1</v>
      </c>
      <c r="D15" s="3" t="s">
        <v>14</v>
      </c>
      <c r="E15" s="3">
        <v>1.9329640342177248</v>
      </c>
      <c r="F15" s="3">
        <v>5.4289855075919107</v>
      </c>
      <c r="G15" s="3">
        <v>5.972631573677063</v>
      </c>
      <c r="H15" s="3">
        <v>5.8490454590681829</v>
      </c>
      <c r="I15" s="3">
        <v>5.785656720844667</v>
      </c>
      <c r="J15" s="3">
        <v>5.6501791156939607</v>
      </c>
      <c r="K15" s="3">
        <v>5.8938102426320098</v>
      </c>
      <c r="L15" s="3">
        <v>5.8326222296114318</v>
      </c>
      <c r="M15" s="3">
        <v>6.1971846103668211</v>
      </c>
      <c r="N15" s="3">
        <v>8.4326565302055307</v>
      </c>
      <c r="O15" s="3">
        <v>9.1377710076688814</v>
      </c>
      <c r="P15" s="3">
        <v>9.6797230793879567</v>
      </c>
      <c r="Q15" s="3">
        <v>9.5317230481367847</v>
      </c>
      <c r="R15" s="3">
        <v>9.5690156240016222</v>
      </c>
      <c r="S15" s="3">
        <v>9.2646190609250745</v>
      </c>
      <c r="T15" s="3">
        <v>9.6689692607292788</v>
      </c>
      <c r="U15" s="3">
        <v>9.5234045727562364</v>
      </c>
      <c r="V15" s="3">
        <v>9.7311007967290948</v>
      </c>
      <c r="W15" s="3">
        <v>8.2021230660952078</v>
      </c>
      <c r="X15" s="3">
        <v>6.9915328478291086</v>
      </c>
      <c r="Y15" s="3">
        <v>6.5425151577501586</v>
      </c>
      <c r="Z15" s="3">
        <v>6.3419083984753559</v>
      </c>
      <c r="AA15" s="3">
        <v>5.899007505044005</v>
      </c>
      <c r="AB15" s="3">
        <v>5.8727575847596833</v>
      </c>
    </row>
    <row r="16" spans="1:28" x14ac:dyDescent="0.3">
      <c r="A16" s="2">
        <v>12</v>
      </c>
      <c r="B16">
        <v>1</v>
      </c>
      <c r="C16">
        <v>0</v>
      </c>
      <c r="D16" s="2" t="s">
        <v>15</v>
      </c>
      <c r="E16" s="2">
        <v>1.4272705306620419</v>
      </c>
      <c r="F16" s="2">
        <v>2.6071412813189063</v>
      </c>
      <c r="G16" s="2">
        <v>2.7607931255353035</v>
      </c>
      <c r="H16" s="2">
        <v>2.7369812914225911</v>
      </c>
      <c r="I16" s="2">
        <v>2.6608774632532985</v>
      </c>
      <c r="J16" s="2">
        <v>2.6472921099819531</v>
      </c>
      <c r="K16" s="2">
        <v>2.7515892799890449</v>
      </c>
      <c r="L16" s="2">
        <v>2.9624534955144286</v>
      </c>
      <c r="M16" s="2">
        <v>3.8646307294071658</v>
      </c>
      <c r="N16" s="2">
        <v>5.2138398051571562</v>
      </c>
      <c r="O16" s="2">
        <v>5.4855317824640464</v>
      </c>
      <c r="P16" s="2">
        <v>5.5917215468276789</v>
      </c>
      <c r="Q16" s="2">
        <v>5.7325650396003445</v>
      </c>
      <c r="R16" s="2">
        <v>5.6324509913693035</v>
      </c>
      <c r="S16" s="2">
        <v>5.4730101069444883</v>
      </c>
      <c r="T16" s="2">
        <v>5.4709858569768128</v>
      </c>
      <c r="U16" s="2">
        <v>5.3157699282998152</v>
      </c>
      <c r="V16" s="2">
        <v>5.0075431491995257</v>
      </c>
      <c r="W16" s="2">
        <v>3.9268463922224917</v>
      </c>
      <c r="X16" s="2">
        <v>3.4639311069282943</v>
      </c>
      <c r="Y16" s="2">
        <v>3.2476673448429034</v>
      </c>
      <c r="Z16" s="2">
        <v>3.2765136565280941</v>
      </c>
      <c r="AA16" s="2">
        <v>3.2924584243446589</v>
      </c>
      <c r="AB16" s="2">
        <v>3.0267497499588041</v>
      </c>
    </row>
    <row r="17" spans="1:28" x14ac:dyDescent="0.3">
      <c r="A17" s="3">
        <v>13</v>
      </c>
      <c r="B17">
        <v>1</v>
      </c>
      <c r="C17">
        <v>0</v>
      </c>
      <c r="D17" s="3" t="s">
        <v>16</v>
      </c>
      <c r="E17" s="3">
        <v>13.074564318907889</v>
      </c>
      <c r="F17" s="3">
        <v>26.556755068698362</v>
      </c>
      <c r="G17" s="3">
        <v>27.882658590630786</v>
      </c>
      <c r="H17" s="3">
        <v>29.237873857938325</v>
      </c>
      <c r="I17" s="3">
        <v>31.402139288722179</v>
      </c>
      <c r="J17" s="3">
        <v>42.311429095945151</v>
      </c>
      <c r="K17" s="3">
        <v>50.913046697218469</v>
      </c>
      <c r="L17" s="3">
        <v>55.781211973745613</v>
      </c>
      <c r="M17" s="3">
        <v>56.450401882582071</v>
      </c>
      <c r="N17" s="3">
        <v>57.300740085519138</v>
      </c>
      <c r="O17" s="3">
        <v>51.878453784202463</v>
      </c>
      <c r="P17" s="3">
        <v>44.061120419617161</v>
      </c>
      <c r="Q17" s="3">
        <v>39.669677391779388</v>
      </c>
      <c r="R17" s="3">
        <v>38.460017415594429</v>
      </c>
      <c r="S17" s="3">
        <v>38.974759009947263</v>
      </c>
      <c r="T17" s="3">
        <v>36.746168705583351</v>
      </c>
      <c r="U17" s="3">
        <v>39.602044996387228</v>
      </c>
      <c r="V17" s="3">
        <v>44.952410829918726</v>
      </c>
      <c r="W17" s="3">
        <v>50.963268530546728</v>
      </c>
      <c r="X17" s="3">
        <v>51.06011902434485</v>
      </c>
      <c r="Y17" s="3">
        <v>52.836377255217045</v>
      </c>
      <c r="Z17" s="3">
        <v>52.455792876693224</v>
      </c>
      <c r="AA17" s="3">
        <v>51.277585895809196</v>
      </c>
      <c r="AB17" s="3">
        <v>39.178925590855734</v>
      </c>
    </row>
    <row r="18" spans="1:28" x14ac:dyDescent="0.3">
      <c r="A18" s="2">
        <v>14</v>
      </c>
      <c r="B18">
        <v>0</v>
      </c>
      <c r="C18">
        <v>0</v>
      </c>
      <c r="D18" s="2" t="s">
        <v>17</v>
      </c>
      <c r="E18" s="2">
        <v>1.2254351701578754</v>
      </c>
      <c r="F18" s="2">
        <v>2.3676003534972643</v>
      </c>
      <c r="G18" s="2">
        <v>2.5819128888696432</v>
      </c>
      <c r="H18" s="2">
        <v>2.5413102206606419</v>
      </c>
      <c r="I18" s="2">
        <v>2.5078861216647432</v>
      </c>
      <c r="J18" s="2">
        <v>2.4263282763885115</v>
      </c>
      <c r="K18" s="2">
        <v>2.5203795829004521</v>
      </c>
      <c r="L18" s="2">
        <v>3.8095405188514349</v>
      </c>
      <c r="M18" s="2">
        <v>5.2211504923295857</v>
      </c>
      <c r="N18" s="2">
        <v>6.6560911501685389</v>
      </c>
      <c r="O18" s="2">
        <v>7.4569778182885109</v>
      </c>
      <c r="P18" s="2">
        <v>7.9984744769102507</v>
      </c>
      <c r="Q18" s="2">
        <v>8.2453566301650767</v>
      </c>
      <c r="R18" s="2">
        <v>7.8078373982596307</v>
      </c>
      <c r="S18" s="2">
        <v>7.7872779336029714</v>
      </c>
      <c r="T18" s="2">
        <v>8.0012840543386794</v>
      </c>
      <c r="U18" s="2">
        <v>8.098505397544999</v>
      </c>
      <c r="V18" s="2">
        <v>7.7459317827513656</v>
      </c>
      <c r="W18" s="2">
        <v>6.5686100016032345</v>
      </c>
      <c r="X18" s="2">
        <v>5.1393429571443274</v>
      </c>
      <c r="Y18" s="2">
        <v>3.633175833165021</v>
      </c>
      <c r="Z18" s="2">
        <v>3.0307276032776551</v>
      </c>
      <c r="AA18" s="2">
        <v>2.7959767191907625</v>
      </c>
      <c r="AB18" s="2">
        <v>2.7433202561150147</v>
      </c>
    </row>
    <row r="19" spans="1:28" x14ac:dyDescent="0.3">
      <c r="A19" s="3">
        <v>15</v>
      </c>
      <c r="B19">
        <v>0</v>
      </c>
      <c r="C19">
        <v>1</v>
      </c>
      <c r="D19" s="3" t="s">
        <v>18</v>
      </c>
      <c r="E19" s="3">
        <v>2.9399111164940734</v>
      </c>
      <c r="F19" s="3">
        <v>5.7529281809185093</v>
      </c>
      <c r="G19" s="3">
        <v>6.2472200619477096</v>
      </c>
      <c r="H19" s="3">
        <v>6.2258771031928459</v>
      </c>
      <c r="I19" s="3">
        <v>6.1230222344398513</v>
      </c>
      <c r="J19" s="3">
        <v>6.0711910148684902</v>
      </c>
      <c r="K19" s="3">
        <v>6.07480110741463</v>
      </c>
      <c r="L19" s="3">
        <v>6.1597771551615681</v>
      </c>
      <c r="M19" s="3">
        <v>6.5577653455001679</v>
      </c>
      <c r="N19" s="3">
        <v>12.694934856283766</v>
      </c>
      <c r="O19" s="3">
        <v>20.251920676434008</v>
      </c>
      <c r="P19" s="3">
        <v>22.188872474786582</v>
      </c>
      <c r="Q19" s="3">
        <v>23.037123612808376</v>
      </c>
      <c r="R19" s="3">
        <v>22.073874258313861</v>
      </c>
      <c r="S19" s="3">
        <v>22.326727268709377</v>
      </c>
      <c r="T19" s="3">
        <v>23.064247872460058</v>
      </c>
      <c r="U19" s="3">
        <v>22.654569808331281</v>
      </c>
      <c r="V19" s="3">
        <v>20.211610005758597</v>
      </c>
      <c r="W19" s="3">
        <v>17.385533620132502</v>
      </c>
      <c r="X19" s="3">
        <v>8.9848690610742175</v>
      </c>
      <c r="Y19" s="3">
        <v>7.3919093328562404</v>
      </c>
      <c r="Z19" s="3">
        <v>6.6551864527713107</v>
      </c>
      <c r="AA19" s="3">
        <v>6.5501058480201655</v>
      </c>
      <c r="AB19" s="3">
        <v>6.3429526379513552</v>
      </c>
    </row>
    <row r="20" spans="1:28" x14ac:dyDescent="0.3">
      <c r="A20" s="2">
        <v>16</v>
      </c>
      <c r="B20">
        <v>0</v>
      </c>
      <c r="C20">
        <v>0</v>
      </c>
      <c r="D20" s="2" t="s">
        <v>19</v>
      </c>
      <c r="E20" s="2">
        <v>0.12648870083529734</v>
      </c>
      <c r="F20" s="2">
        <v>0.23988418043249071</v>
      </c>
      <c r="G20" s="2">
        <v>0.2594872525030425</v>
      </c>
      <c r="H20" s="2">
        <v>0.26042776238226012</v>
      </c>
      <c r="I20" s="2">
        <v>0.25570821441266756</v>
      </c>
      <c r="J20" s="2">
        <v>0.25465155842452819</v>
      </c>
      <c r="K20" s="2">
        <v>0.25791737853292046</v>
      </c>
      <c r="L20" s="2">
        <v>0.26734188058946884</v>
      </c>
      <c r="M20" s="2">
        <v>0.35492263599845947</v>
      </c>
      <c r="N20" s="2">
        <v>0.5275386829131995</v>
      </c>
      <c r="O20" s="2">
        <v>1.1780254930975418</v>
      </c>
      <c r="P20" s="2">
        <v>1.4103892045942219</v>
      </c>
      <c r="Q20" s="2">
        <v>1.4238535207342093</v>
      </c>
      <c r="R20" s="2">
        <v>1.3730903964300276</v>
      </c>
      <c r="S20" s="2">
        <v>1.3813948866445569</v>
      </c>
      <c r="T20" s="2">
        <v>1.3438895196988967</v>
      </c>
      <c r="U20" s="2">
        <v>1.3218426990919234</v>
      </c>
      <c r="V20" s="2">
        <v>1.166977463914475</v>
      </c>
      <c r="W20" s="2">
        <v>0.75803370700542161</v>
      </c>
      <c r="X20" s="2">
        <v>0.4197535418375018</v>
      </c>
      <c r="Y20" s="2">
        <v>0.31510704291958203</v>
      </c>
      <c r="Z20" s="2">
        <v>0.27427683614909987</v>
      </c>
      <c r="AA20" s="2">
        <v>0.2632521251612277</v>
      </c>
      <c r="AB20" s="2">
        <v>0.25943019945821877</v>
      </c>
    </row>
    <row r="21" spans="1:28" x14ac:dyDescent="0.3">
      <c r="A21" s="3">
        <v>17</v>
      </c>
      <c r="B21">
        <v>1</v>
      </c>
      <c r="C21">
        <v>0</v>
      </c>
      <c r="D21" s="3" t="s">
        <v>20</v>
      </c>
      <c r="E21" s="3">
        <v>1.7571072880302043</v>
      </c>
      <c r="F21" s="3">
        <v>3.5011178819845052</v>
      </c>
      <c r="G21" s="3">
        <v>3.7419351405808658</v>
      </c>
      <c r="H21" s="3">
        <v>3.7160237912145262</v>
      </c>
      <c r="I21" s="3">
        <v>3.67783783891913</v>
      </c>
      <c r="J21" s="3">
        <v>3.6666033034277437</v>
      </c>
      <c r="K21" s="3">
        <v>3.9824698903085696</v>
      </c>
      <c r="L21" s="3">
        <v>5.1994716016430518</v>
      </c>
      <c r="M21" s="3">
        <v>6.9610740714681842</v>
      </c>
      <c r="N21" s="3">
        <v>8.4579696306301031</v>
      </c>
      <c r="O21" s="3">
        <v>12.802934024409343</v>
      </c>
      <c r="P21" s="3">
        <v>9.8576179692584471</v>
      </c>
      <c r="Q21" s="3">
        <v>9.6663265153027016</v>
      </c>
      <c r="R21" s="3">
        <v>9.4128718440724803</v>
      </c>
      <c r="S21" s="3">
        <v>9.1020553409267944</v>
      </c>
      <c r="T21" s="3">
        <v>9.0067724902478474</v>
      </c>
      <c r="U21" s="3">
        <v>9.1116945236980165</v>
      </c>
      <c r="V21" s="3">
        <v>8.9489647809849231</v>
      </c>
      <c r="W21" s="3">
        <v>8.3116274078290466</v>
      </c>
      <c r="X21" s="3">
        <v>6.5892910822389936</v>
      </c>
      <c r="Y21" s="3">
        <v>5.4275655020138718</v>
      </c>
      <c r="Z21" s="3">
        <v>4.6637678117267694</v>
      </c>
      <c r="AA21" s="3">
        <v>4.1105497719507591</v>
      </c>
      <c r="AB21" s="3">
        <v>4.0384423936439662</v>
      </c>
    </row>
    <row r="22" spans="1:28" x14ac:dyDescent="0.3">
      <c r="A22" s="2">
        <v>18</v>
      </c>
      <c r="B22">
        <v>1</v>
      </c>
      <c r="C22">
        <v>0</v>
      </c>
      <c r="D22" s="2" t="s">
        <v>21</v>
      </c>
      <c r="E22" s="2">
        <v>2.9126529912655283</v>
      </c>
      <c r="F22" s="2">
        <v>6.1640536160875197</v>
      </c>
      <c r="G22" s="2">
        <v>6.6157318605609499</v>
      </c>
      <c r="H22" s="2">
        <v>6.5559021960297592</v>
      </c>
      <c r="I22" s="2">
        <v>6.3860189185157559</v>
      </c>
      <c r="J22" s="2">
        <v>6.3491613959209827</v>
      </c>
      <c r="K22" s="2">
        <v>6.4085492050836956</v>
      </c>
      <c r="L22" s="2">
        <v>6.6384730028727699</v>
      </c>
      <c r="M22" s="2">
        <v>7.6023079274192691</v>
      </c>
      <c r="N22" s="2">
        <v>9.0475318211658742</v>
      </c>
      <c r="O22" s="2">
        <v>12.744264316406978</v>
      </c>
      <c r="P22" s="2">
        <v>15.645060303854564</v>
      </c>
      <c r="Q22" s="2">
        <v>15.483677331631938</v>
      </c>
      <c r="R22" s="2">
        <v>16.098444436088442</v>
      </c>
      <c r="S22" s="2">
        <v>15.932846646720231</v>
      </c>
      <c r="T22" s="2">
        <v>15.034525618339197</v>
      </c>
      <c r="U22" s="2">
        <v>14.33726664346362</v>
      </c>
      <c r="V22" s="2">
        <v>14.462855795255074</v>
      </c>
      <c r="W22" s="2">
        <v>15.788996857932851</v>
      </c>
      <c r="X22" s="2">
        <v>16.30367296746692</v>
      </c>
      <c r="Y22" s="2">
        <v>16.295175567316036</v>
      </c>
      <c r="Z22" s="2">
        <v>15.182771162553268</v>
      </c>
      <c r="AA22" s="2">
        <v>10.306871489671332</v>
      </c>
      <c r="AB22" s="2">
        <v>7.4293427624792407</v>
      </c>
    </row>
    <row r="23" spans="1:28" x14ac:dyDescent="0.3">
      <c r="A23" s="3">
        <v>19</v>
      </c>
      <c r="B23">
        <v>1</v>
      </c>
      <c r="C23">
        <v>0</v>
      </c>
      <c r="D23" s="3" t="s">
        <v>22</v>
      </c>
      <c r="E23" s="3">
        <v>0.85646875137463208</v>
      </c>
      <c r="F23" s="3">
        <v>1.5070937457494435</v>
      </c>
      <c r="G23" s="3">
        <v>1.6239843247078802</v>
      </c>
      <c r="H23" s="3">
        <v>1.6215109022978311</v>
      </c>
      <c r="I23" s="3">
        <v>1.59945625141263</v>
      </c>
      <c r="J23" s="3">
        <v>1.5862156226299704</v>
      </c>
      <c r="K23" s="3">
        <v>1.5760406233370303</v>
      </c>
      <c r="L23" s="3">
        <v>1.4879657277994069</v>
      </c>
      <c r="M23" s="3">
        <v>1.6707343753427266</v>
      </c>
      <c r="N23" s="3">
        <v>2.6018312441185119</v>
      </c>
      <c r="O23" s="3">
        <v>3.4967687517404555</v>
      </c>
      <c r="P23" s="3">
        <v>3.447327094007504</v>
      </c>
      <c r="Q23" s="3">
        <v>3.5451572282509236</v>
      </c>
      <c r="R23" s="3">
        <v>3.3004639515869294</v>
      </c>
      <c r="S23" s="3">
        <v>3.3650376170780216</v>
      </c>
      <c r="T23" s="3">
        <v>3.5958589381278494</v>
      </c>
      <c r="U23" s="3">
        <v>3.448315626755357</v>
      </c>
      <c r="V23" s="3">
        <v>3.4487452771303788</v>
      </c>
      <c r="W23" s="3">
        <v>3.0741509478422082</v>
      </c>
      <c r="X23" s="3">
        <v>2.549820749827151</v>
      </c>
      <c r="Y23" s="3">
        <v>2.0953364457668173</v>
      </c>
      <c r="Z23" s="3">
        <v>1.77912264181383</v>
      </c>
      <c r="AA23" s="3">
        <v>1.663028390625674</v>
      </c>
      <c r="AB23" s="3">
        <v>1.6285047346861206</v>
      </c>
    </row>
    <row r="24" spans="1:28" x14ac:dyDescent="0.3">
      <c r="A24" s="2">
        <v>20</v>
      </c>
      <c r="B24">
        <v>1</v>
      </c>
      <c r="C24">
        <v>0</v>
      </c>
      <c r="D24" s="2" t="s">
        <v>23</v>
      </c>
      <c r="E24" s="2">
        <v>1.8559313116892262</v>
      </c>
      <c r="F24" s="2">
        <v>3.5649105318478846</v>
      </c>
      <c r="G24" s="2">
        <v>3.7936977636449671</v>
      </c>
      <c r="H24" s="2">
        <v>3.7594871794845344</v>
      </c>
      <c r="I24" s="2">
        <v>3.7094550198048002</v>
      </c>
      <c r="J24" s="2">
        <v>3.690178712735714</v>
      </c>
      <c r="K24" s="2">
        <v>3.6894778542464342</v>
      </c>
      <c r="L24" s="2">
        <v>3.67150032373095</v>
      </c>
      <c r="M24" s="2">
        <v>4.5367353886793333</v>
      </c>
      <c r="N24" s="2">
        <v>9.6327043414732714</v>
      </c>
      <c r="O24" s="2">
        <v>10.475785070964346</v>
      </c>
      <c r="P24" s="2">
        <v>10.348690499951964</v>
      </c>
      <c r="Q24" s="2">
        <v>10.231955054539249</v>
      </c>
      <c r="R24" s="2">
        <v>7.2495354397180858</v>
      </c>
      <c r="S24" s="2">
        <v>9.8686513408764132</v>
      </c>
      <c r="T24" s="2">
        <v>10.701311507465864</v>
      </c>
      <c r="U24" s="2">
        <v>9.9250675502114127</v>
      </c>
      <c r="V24" s="2">
        <v>9.7000846586977971</v>
      </c>
      <c r="W24" s="11">
        <v>7.4598279211307741</v>
      </c>
      <c r="X24" s="2">
        <v>5.2447526245917144</v>
      </c>
      <c r="Y24" s="2">
        <v>4.5746788985216762</v>
      </c>
      <c r="Z24" s="2">
        <v>4.1418105251008743</v>
      </c>
      <c r="AA24" s="2">
        <v>3.9304352375574014</v>
      </c>
      <c r="AB24" s="2">
        <v>3.8249466097376499</v>
      </c>
    </row>
    <row r="25" spans="1:28" x14ac:dyDescent="0.3">
      <c r="A25" s="3">
        <v>21</v>
      </c>
      <c r="B25">
        <v>0</v>
      </c>
      <c r="C25">
        <v>0</v>
      </c>
      <c r="D25" s="3" t="s">
        <v>24</v>
      </c>
      <c r="E25" s="3">
        <v>15.626648477540028</v>
      </c>
      <c r="F25" s="3">
        <v>28.887748293609203</v>
      </c>
      <c r="G25" s="3">
        <v>32.095568469616055</v>
      </c>
      <c r="H25" s="3">
        <v>31.549232916519401</v>
      </c>
      <c r="I25" s="3">
        <v>31.496731317604677</v>
      </c>
      <c r="J25" s="3">
        <v>30.900289718819195</v>
      </c>
      <c r="K25" s="3">
        <v>31.685935829141314</v>
      </c>
      <c r="L25" s="3">
        <v>31.418230236651333</v>
      </c>
      <c r="M25" s="3">
        <v>32.166703930780209</v>
      </c>
      <c r="N25" s="3">
        <v>33.129541484950799</v>
      </c>
      <c r="O25" s="3">
        <v>34.269888211894965</v>
      </c>
      <c r="P25" s="3">
        <v>34.398672223256007</v>
      </c>
      <c r="Q25" s="3">
        <v>35.717487417140475</v>
      </c>
      <c r="R25" s="3">
        <v>35.048626572268823</v>
      </c>
      <c r="S25" s="3">
        <v>35.26247775554657</v>
      </c>
      <c r="T25" s="3">
        <v>35.520354533789892</v>
      </c>
      <c r="U25" s="3">
        <v>34.5809434476392</v>
      </c>
      <c r="V25" s="3">
        <v>35.089409728817174</v>
      </c>
      <c r="W25" s="3">
        <v>34.806264199534112</v>
      </c>
      <c r="X25" s="3">
        <v>33.559185552131517</v>
      </c>
      <c r="Y25" s="3">
        <v>33.349677754773033</v>
      </c>
      <c r="Z25" s="3">
        <v>32.815822290711935</v>
      </c>
      <c r="AA25" s="3">
        <v>32.400435735393501</v>
      </c>
      <c r="AB25" s="3">
        <v>32.003066664271884</v>
      </c>
    </row>
    <row r="26" spans="1:28" x14ac:dyDescent="0.3">
      <c r="A26" s="2">
        <v>22</v>
      </c>
      <c r="B26">
        <v>1</v>
      </c>
      <c r="C26">
        <v>0</v>
      </c>
      <c r="D26" s="2" t="s">
        <v>25</v>
      </c>
      <c r="E26" s="2">
        <v>3.9849655047572892</v>
      </c>
      <c r="F26" s="2">
        <v>7.7696170092474501</v>
      </c>
      <c r="G26" s="2">
        <v>8.7822646967628426</v>
      </c>
      <c r="H26" s="2">
        <v>8.7385821137855295</v>
      </c>
      <c r="I26" s="2">
        <v>8.6729575409392137</v>
      </c>
      <c r="J26" s="2">
        <v>8.4959080557256836</v>
      </c>
      <c r="K26" s="2">
        <v>8.8291566142116693</v>
      </c>
      <c r="L26" s="2">
        <v>9.3363605364197824</v>
      </c>
      <c r="M26" s="2">
        <v>10.871234764741812</v>
      </c>
      <c r="N26" s="2">
        <v>14.951913764764523</v>
      </c>
      <c r="O26" s="2">
        <v>17.653367089822826</v>
      </c>
      <c r="P26" s="2">
        <v>17.198948200005461</v>
      </c>
      <c r="Q26" s="2">
        <v>17.1888724217199</v>
      </c>
      <c r="R26" s="2">
        <v>16.291734452069548</v>
      </c>
      <c r="S26" s="2">
        <v>16.577837403712234</v>
      </c>
      <c r="T26" s="2">
        <v>16.179147280463877</v>
      </c>
      <c r="U26" s="2">
        <v>16.515419390413072</v>
      </c>
      <c r="V26" s="2">
        <v>16.03657142955716</v>
      </c>
      <c r="W26" s="2">
        <v>14.448127000577864</v>
      </c>
      <c r="X26" s="2">
        <v>12.807333352029787</v>
      </c>
      <c r="Y26" s="2">
        <v>11.541384634604823</v>
      </c>
      <c r="Z26" s="2">
        <v>10.727064099401796</v>
      </c>
      <c r="AA26" s="2">
        <v>9.5646130152589084</v>
      </c>
      <c r="AB26" s="2">
        <v>9.2374000269633072</v>
      </c>
    </row>
    <row r="27" spans="1:28" x14ac:dyDescent="0.3">
      <c r="A27" s="3">
        <v>23</v>
      </c>
      <c r="B27">
        <v>1</v>
      </c>
      <c r="C27">
        <v>0</v>
      </c>
      <c r="D27" s="3" t="s">
        <v>26</v>
      </c>
      <c r="E27" s="3">
        <v>2.3809046340898208</v>
      </c>
      <c r="F27" s="3">
        <v>4.3627247958157307</v>
      </c>
      <c r="G27" s="3">
        <v>4.6482185884251619</v>
      </c>
      <c r="H27" s="3">
        <v>4.6309945303234246</v>
      </c>
      <c r="I27" s="3">
        <v>4.5872786898430578</v>
      </c>
      <c r="J27" s="3">
        <v>4.6249617479863714</v>
      </c>
      <c r="K27" s="3">
        <v>4.7481318731884379</v>
      </c>
      <c r="L27" s="3">
        <v>6.3333698847522477</v>
      </c>
      <c r="M27" s="3">
        <v>7.3001205561912208</v>
      </c>
      <c r="N27" s="3">
        <v>7.8449972577290978</v>
      </c>
      <c r="O27" s="3">
        <v>7.7357166164252682</v>
      </c>
      <c r="P27" s="3">
        <v>7.6863651058004727</v>
      </c>
      <c r="Q27" s="3">
        <v>7.6231208934888732</v>
      </c>
      <c r="R27" s="3">
        <v>7.5838251556855081</v>
      </c>
      <c r="S27" s="3">
        <v>7.5106191615535804</v>
      </c>
      <c r="T27" s="3">
        <v>7.4818121524146903</v>
      </c>
      <c r="U27" s="3">
        <v>7.5044821993945394</v>
      </c>
      <c r="V27" s="3">
        <v>7.3331129465549783</v>
      </c>
      <c r="W27" s="3">
        <v>6.9635506832436338</v>
      </c>
      <c r="X27" s="3">
        <v>6.3835178113963504</v>
      </c>
      <c r="Y27" s="3">
        <v>5.3580869572318122</v>
      </c>
      <c r="Z27" s="3">
        <v>5.0349011015106031</v>
      </c>
      <c r="AA27" s="3">
        <v>4.9250109888367604</v>
      </c>
      <c r="AB27" s="3">
        <v>4.7932307674334602</v>
      </c>
    </row>
    <row r="28" spans="1:28" x14ac:dyDescent="0.3">
      <c r="A28" s="2">
        <v>24</v>
      </c>
      <c r="B28">
        <v>1</v>
      </c>
      <c r="C28">
        <v>0</v>
      </c>
      <c r="D28" s="2" t="s">
        <v>27</v>
      </c>
      <c r="E28" s="2">
        <v>1.7471007959048241</v>
      </c>
      <c r="F28" s="2">
        <v>3.497703453488902</v>
      </c>
      <c r="G28" s="2">
        <v>3.7517409787593516</v>
      </c>
      <c r="H28" s="2">
        <v>3.7144404288134791</v>
      </c>
      <c r="I28" s="2">
        <v>3.6141809619294953</v>
      </c>
      <c r="J28" s="2">
        <v>3.6301405617310833</v>
      </c>
      <c r="K28" s="2">
        <v>3.637013320679952</v>
      </c>
      <c r="L28" s="2">
        <v>4.0058575196891715</v>
      </c>
      <c r="M28" s="2">
        <v>4.6964104289603279</v>
      </c>
      <c r="N28" s="2">
        <v>5.0424069729440379</v>
      </c>
      <c r="O28" s="2">
        <v>5.0280491281636266</v>
      </c>
      <c r="P28" s="2">
        <v>5.1534566071320596</v>
      </c>
      <c r="Q28" s="2">
        <v>5.1077104788355516</v>
      </c>
      <c r="R28" s="2">
        <v>5.1657636228099761</v>
      </c>
      <c r="S28" s="2">
        <v>5.1734211900915996</v>
      </c>
      <c r="T28" s="2">
        <v>5.1556750381749268</v>
      </c>
      <c r="U28" s="2">
        <v>5.1909920812441133</v>
      </c>
      <c r="V28" s="2">
        <v>5.0713786714316038</v>
      </c>
      <c r="W28" s="2">
        <v>4.7370200453459645</v>
      </c>
      <c r="X28" s="2">
        <v>4.0888950865855502</v>
      </c>
      <c r="Y28" s="2">
        <v>3.813125328920937</v>
      </c>
      <c r="Z28" s="2">
        <v>3.7101254963725729</v>
      </c>
      <c r="AA28" s="2">
        <v>3.6920119600755688</v>
      </c>
      <c r="AB28" s="2">
        <v>3.733495338480596</v>
      </c>
    </row>
    <row r="29" spans="1:28" x14ac:dyDescent="0.3">
      <c r="A29" s="3">
        <v>25</v>
      </c>
      <c r="B29">
        <v>0</v>
      </c>
      <c r="C29">
        <v>0</v>
      </c>
      <c r="D29" s="3" t="s">
        <v>28</v>
      </c>
      <c r="E29" s="3">
        <v>3.3753916434181033</v>
      </c>
      <c r="F29" s="3">
        <v>6.7958563860517334</v>
      </c>
      <c r="G29" s="3">
        <v>7.333747843950075</v>
      </c>
      <c r="H29" s="3">
        <v>7.2616817908457971</v>
      </c>
      <c r="I29" s="3">
        <v>7.1713174644583146</v>
      </c>
      <c r="J29" s="3">
        <v>7.0541871069362072</v>
      </c>
      <c r="K29" s="3">
        <v>6.9989011988466778</v>
      </c>
      <c r="L29" s="3">
        <v>8.5541087582610764</v>
      </c>
      <c r="M29" s="3">
        <v>11.380042260367665</v>
      </c>
      <c r="N29" s="3">
        <v>12.616903651839497</v>
      </c>
      <c r="O29" s="3">
        <v>13.815953195590195</v>
      </c>
      <c r="P29" s="3">
        <v>14.61979985986523</v>
      </c>
      <c r="Q29" s="3">
        <v>15.080473025776334</v>
      </c>
      <c r="R29" s="3">
        <v>14.839388463102162</v>
      </c>
      <c r="S29" s="3">
        <v>15.014181697224736</v>
      </c>
      <c r="T29" s="3">
        <v>15.245834855711728</v>
      </c>
      <c r="U29" s="3">
        <v>15.098008190784354</v>
      </c>
      <c r="V29" s="3">
        <v>14.43063859986918</v>
      </c>
      <c r="W29" s="3">
        <v>13.511379166525199</v>
      </c>
      <c r="X29" s="3">
        <v>10.601197722243155</v>
      </c>
      <c r="Y29" s="3">
        <v>8.1855534935268697</v>
      </c>
      <c r="Z29" s="3">
        <v>7.5144222522398989</v>
      </c>
      <c r="AA29" s="3">
        <v>7.4700327283750987</v>
      </c>
      <c r="AB29" s="3">
        <v>7.5573306576846013</v>
      </c>
    </row>
    <row r="30" spans="1:28" x14ac:dyDescent="0.3">
      <c r="A30" s="2">
        <v>26</v>
      </c>
      <c r="B30">
        <v>1</v>
      </c>
      <c r="C30">
        <v>0</v>
      </c>
      <c r="D30" s="2" t="s">
        <v>29</v>
      </c>
      <c r="E30" s="2">
        <v>8.6682895605612291</v>
      </c>
      <c r="F30" s="2">
        <v>14.210284495353699</v>
      </c>
      <c r="G30" s="2">
        <v>18.672448057616872</v>
      </c>
      <c r="H30" s="2">
        <v>15.434920831924872</v>
      </c>
      <c r="I30" s="2">
        <v>28.40219431562522</v>
      </c>
      <c r="J30" s="2">
        <v>24.753789225596428</v>
      </c>
      <c r="K30" s="2">
        <v>15.496478183939402</v>
      </c>
      <c r="L30" s="2">
        <v>43.344927074813519</v>
      </c>
      <c r="M30" s="2">
        <v>19.217340348477951</v>
      </c>
      <c r="N30" s="2">
        <v>20.277706819054966</v>
      </c>
      <c r="O30" s="2">
        <v>26.639847360344397</v>
      </c>
      <c r="P30" s="2">
        <v>21.32416028345088</v>
      </c>
      <c r="Q30" s="2">
        <v>21.532423062966419</v>
      </c>
      <c r="R30" s="2">
        <v>32.142406043572102</v>
      </c>
      <c r="S30" s="2">
        <v>21.682663739662136</v>
      </c>
      <c r="T30" s="2">
        <v>37.107636331678279</v>
      </c>
      <c r="U30" s="2">
        <v>21.066447724033317</v>
      </c>
      <c r="V30" s="2">
        <v>21.029045096909005</v>
      </c>
      <c r="W30" s="2">
        <v>37.492769298540956</v>
      </c>
      <c r="X30" s="2">
        <v>17.235309034172033</v>
      </c>
      <c r="Y30" s="2">
        <v>30.832898238248998</v>
      </c>
      <c r="Z30" s="2">
        <v>15.920086088624696</v>
      </c>
      <c r="AA30" s="2">
        <v>15.727441696733131</v>
      </c>
      <c r="AB30" s="2">
        <v>15.889596504543139</v>
      </c>
    </row>
    <row r="31" spans="1:28" x14ac:dyDescent="0.3">
      <c r="A31" s="3">
        <v>27</v>
      </c>
      <c r="B31">
        <v>1</v>
      </c>
      <c r="C31">
        <v>0</v>
      </c>
      <c r="D31" s="3" t="s">
        <v>30</v>
      </c>
      <c r="E31" s="3">
        <v>5.4227070989030777</v>
      </c>
      <c r="F31" s="3">
        <v>8.5721211866898965</v>
      </c>
      <c r="G31" s="3">
        <v>9.0718383500070274</v>
      </c>
      <c r="H31" s="3">
        <v>8.9451313163294941</v>
      </c>
      <c r="I31" s="3">
        <v>8.6183030388571993</v>
      </c>
      <c r="J31" s="3">
        <v>8.7438788028678509</v>
      </c>
      <c r="K31" s="3">
        <v>8.7572121427516745</v>
      </c>
      <c r="L31" s="3">
        <v>8.5303030351195677</v>
      </c>
      <c r="M31" s="3">
        <v>9.3931313331681086</v>
      </c>
      <c r="N31" s="3">
        <v>16.132484859890408</v>
      </c>
      <c r="O31" s="3">
        <v>20.196646468807955</v>
      </c>
      <c r="P31" s="3">
        <v>19.27653060154039</v>
      </c>
      <c r="Q31" s="3">
        <v>18.8491836664628</v>
      </c>
      <c r="R31" s="3">
        <v>17.535798010199962</v>
      </c>
      <c r="S31" s="3">
        <v>17.615876291216033</v>
      </c>
      <c r="T31" s="3">
        <v>19.197278357043707</v>
      </c>
      <c r="U31" s="3">
        <v>17.656326581020743</v>
      </c>
      <c r="V31" s="3">
        <v>16.80255667696294</v>
      </c>
      <c r="W31" s="3">
        <v>14.657795876872784</v>
      </c>
      <c r="X31" s="3">
        <v>12.595102018239544</v>
      </c>
      <c r="Y31" s="3">
        <v>11.278244850586871</v>
      </c>
      <c r="Z31" s="3">
        <v>10.198857103075301</v>
      </c>
      <c r="AA31" s="3">
        <v>9.4522448899794629</v>
      </c>
      <c r="AB31" s="3">
        <v>9.175632681165423</v>
      </c>
    </row>
    <row r="32" spans="1:28" x14ac:dyDescent="0.3">
      <c r="A32" s="2">
        <v>28</v>
      </c>
      <c r="B32">
        <v>0</v>
      </c>
      <c r="C32">
        <v>0</v>
      </c>
      <c r="D32" s="2" t="s">
        <v>31</v>
      </c>
      <c r="E32" s="2">
        <v>0.43305498719534802</v>
      </c>
      <c r="F32" s="2">
        <v>1.1371550595348039</v>
      </c>
      <c r="G32" s="2">
        <v>1.1905177196821393</v>
      </c>
      <c r="H32" s="2">
        <v>1.1853601461306031</v>
      </c>
      <c r="I32" s="2">
        <v>1.1703464391428544</v>
      </c>
      <c r="J32" s="2">
        <v>1.1284028025918476</v>
      </c>
      <c r="K32" s="2">
        <v>1.1195827043244153</v>
      </c>
      <c r="L32" s="2">
        <v>1.0947595498800617</v>
      </c>
      <c r="M32" s="2">
        <v>1.1550233614413399</v>
      </c>
      <c r="N32" s="2">
        <v>1.3497064908982195</v>
      </c>
      <c r="O32" s="2">
        <v>1.6320355446500419</v>
      </c>
      <c r="P32" s="2">
        <v>1.7242390264493495</v>
      </c>
      <c r="Q32" s="2">
        <v>1.7230241605319554</v>
      </c>
      <c r="R32" s="2">
        <v>1.6254580995116514</v>
      </c>
      <c r="S32" s="2">
        <v>1.5722855827048103</v>
      </c>
      <c r="T32" s="2">
        <v>1.6078453703705842</v>
      </c>
      <c r="U32" s="2">
        <v>1.578747686420334</v>
      </c>
      <c r="V32" s="2">
        <v>1.4665845687835233</v>
      </c>
      <c r="W32" s="2">
        <v>1.2921597030097682</v>
      </c>
      <c r="X32" s="2">
        <v>1.1456542730835166</v>
      </c>
      <c r="Y32" s="2">
        <v>1.0517320893128772</v>
      </c>
      <c r="Z32" s="2">
        <v>1.0393680282878184</v>
      </c>
      <c r="AA32" s="2">
        <v>1.0712276100697529</v>
      </c>
      <c r="AB32" s="2">
        <v>1.1623771078890062</v>
      </c>
    </row>
    <row r="35" spans="1:30" x14ac:dyDescent="0.3">
      <c r="B35" s="9" t="s">
        <v>73</v>
      </c>
      <c r="D35" s="9" t="s">
        <v>60</v>
      </c>
      <c r="E35">
        <f>SUMPRODUCT($B$4:$B$32,E4:E32)</f>
        <v>61.731659552435794</v>
      </c>
      <c r="F35">
        <f t="shared" ref="F35:AB35" si="0">SUMPRODUCT($B$4:$B$32,F4:F32)</f>
        <v>121.67593828081311</v>
      </c>
      <c r="G35">
        <f t="shared" si="0"/>
        <v>133.31778396654821</v>
      </c>
      <c r="H35">
        <f t="shared" si="0"/>
        <v>130.8058074400484</v>
      </c>
      <c r="I35">
        <f t="shared" si="0"/>
        <v>144.07535123217934</v>
      </c>
      <c r="J35">
        <f t="shared" si="0"/>
        <v>150.57057182383122</v>
      </c>
      <c r="K35">
        <f t="shared" si="0"/>
        <v>150.80068652423662</v>
      </c>
      <c r="L35">
        <f t="shared" si="0"/>
        <v>187.49063151739531</v>
      </c>
      <c r="M35">
        <f t="shared" si="0"/>
        <v>174.91416138798374</v>
      </c>
      <c r="N35">
        <f t="shared" si="0"/>
        <v>209.44877047208874</v>
      </c>
      <c r="O35">
        <f t="shared" si="0"/>
        <v>240.05483144969423</v>
      </c>
      <c r="P35">
        <f t="shared" si="0"/>
        <v>230.49435421752625</v>
      </c>
      <c r="Q35">
        <f t="shared" si="0"/>
        <v>227.58227501975617</v>
      </c>
      <c r="R35">
        <f t="shared" si="0"/>
        <v>230.22295574753389</v>
      </c>
      <c r="S35">
        <f t="shared" si="0"/>
        <v>221.99809942661872</v>
      </c>
      <c r="T35">
        <f t="shared" si="0"/>
        <v>237.57623849401651</v>
      </c>
      <c r="U35">
        <f t="shared" si="0"/>
        <v>220.6133604106389</v>
      </c>
      <c r="V35">
        <f t="shared" si="0"/>
        <v>225.03843444484482</v>
      </c>
      <c r="W35">
        <f t="shared" si="0"/>
        <v>223.99396654274528</v>
      </c>
      <c r="X35">
        <f t="shared" si="0"/>
        <v>190.14239835373408</v>
      </c>
      <c r="Y35">
        <f t="shared" si="0"/>
        <v>196.84981614561678</v>
      </c>
      <c r="Z35">
        <f t="shared" si="0"/>
        <v>175.17713300521891</v>
      </c>
      <c r="AA35">
        <f t="shared" si="0"/>
        <v>164.1212644950231</v>
      </c>
      <c r="AB35">
        <f t="shared" si="0"/>
        <v>146.41993124640211</v>
      </c>
    </row>
    <row r="36" spans="1:30" x14ac:dyDescent="0.3">
      <c r="B36" s="9" t="s">
        <v>74</v>
      </c>
      <c r="D36" s="9" t="s">
        <v>61</v>
      </c>
      <c r="E36">
        <f>SUMPRODUCT($C$4:$C$32,E4:E32)</f>
        <v>19.279814721604605</v>
      </c>
      <c r="F36">
        <f t="shared" ref="F36:AB36" si="1">SUMPRODUCT($C$4:$C$32,F4:F32)</f>
        <v>37.536609880920707</v>
      </c>
      <c r="G36">
        <f t="shared" si="1"/>
        <v>42.170267226569472</v>
      </c>
      <c r="H36">
        <f t="shared" si="1"/>
        <v>41.732878904158838</v>
      </c>
      <c r="I36">
        <f t="shared" si="1"/>
        <v>40.97658552616425</v>
      </c>
      <c r="J36">
        <f t="shared" si="1"/>
        <v>40.912324300732465</v>
      </c>
      <c r="K36">
        <f t="shared" si="1"/>
        <v>41.538059829042588</v>
      </c>
      <c r="L36">
        <f t="shared" si="1"/>
        <v>43.498775927819622</v>
      </c>
      <c r="M36">
        <f t="shared" si="1"/>
        <v>49.326369738694083</v>
      </c>
      <c r="N36">
        <f t="shared" si="1"/>
        <v>71.120787499865926</v>
      </c>
      <c r="O36">
        <f t="shared" si="1"/>
        <v>83.644875846206915</v>
      </c>
      <c r="P36">
        <f t="shared" si="1"/>
        <v>88.730665759184433</v>
      </c>
      <c r="Q36">
        <f t="shared" si="1"/>
        <v>90.688562890800128</v>
      </c>
      <c r="R36">
        <f t="shared" si="1"/>
        <v>86.864338342818769</v>
      </c>
      <c r="S36">
        <f t="shared" si="1"/>
        <v>87.33318940298075</v>
      </c>
      <c r="T36">
        <f t="shared" si="1"/>
        <v>91.667325954263717</v>
      </c>
      <c r="U36">
        <f t="shared" si="1"/>
        <v>88.496595162106388</v>
      </c>
      <c r="V36">
        <f t="shared" si="1"/>
        <v>84.233694363956388</v>
      </c>
      <c r="W36">
        <f t="shared" si="1"/>
        <v>73.411365614364072</v>
      </c>
      <c r="X36">
        <f t="shared" si="1"/>
        <v>56.675758912506552</v>
      </c>
      <c r="Y36">
        <f t="shared" si="1"/>
        <v>103.83248388654054</v>
      </c>
      <c r="Z36">
        <f t="shared" si="1"/>
        <v>46.040736614314582</v>
      </c>
      <c r="AA36">
        <f t="shared" si="1"/>
        <v>43.938610824600467</v>
      </c>
      <c r="AB36">
        <f t="shared" si="1"/>
        <v>42.775877184606415</v>
      </c>
    </row>
    <row r="37" spans="1:30" x14ac:dyDescent="0.3">
      <c r="AD37" s="10" t="s">
        <v>71</v>
      </c>
    </row>
    <row r="38" spans="1:30" x14ac:dyDescent="0.3">
      <c r="A38" s="7" t="s">
        <v>69</v>
      </c>
      <c r="B38" s="9"/>
      <c r="D38" s="9" t="s">
        <v>62</v>
      </c>
      <c r="E38">
        <f>E35-E2</f>
        <v>61.731659552435794</v>
      </c>
      <c r="F38">
        <f t="shared" ref="F38:AB38" si="2">F35-F2</f>
        <v>121.67593828081311</v>
      </c>
      <c r="G38">
        <f t="shared" si="2"/>
        <v>133.31778396654821</v>
      </c>
      <c r="H38">
        <f t="shared" si="2"/>
        <v>130.8058074400484</v>
      </c>
      <c r="I38">
        <f t="shared" si="2"/>
        <v>144.07535123217934</v>
      </c>
      <c r="J38">
        <f t="shared" si="2"/>
        <v>149.33140215098291</v>
      </c>
      <c r="K38">
        <f t="shared" si="2"/>
        <v>147.91145102386773</v>
      </c>
      <c r="L38">
        <f t="shared" si="2"/>
        <v>155.72200358604795</v>
      </c>
      <c r="M38">
        <f t="shared" si="2"/>
        <v>72.554343494614528</v>
      </c>
      <c r="N38">
        <f t="shared" si="2"/>
        <v>29.772415834384446</v>
      </c>
      <c r="O38">
        <f t="shared" si="2"/>
        <v>-10.742211330288541</v>
      </c>
      <c r="P38">
        <f t="shared" si="2"/>
        <v>-67.977666049631324</v>
      </c>
      <c r="Q38">
        <f t="shared" si="2"/>
        <v>-75.417724980243833</v>
      </c>
      <c r="R38">
        <f t="shared" si="2"/>
        <v>-64.114831764901282</v>
      </c>
      <c r="S38">
        <f t="shared" si="2"/>
        <v>-41.546462711413568</v>
      </c>
      <c r="T38">
        <f t="shared" si="2"/>
        <v>45.068132024134883</v>
      </c>
      <c r="U38">
        <f t="shared" si="2"/>
        <v>112.14972484286523</v>
      </c>
      <c r="V38">
        <f t="shared" si="2"/>
        <v>190.77980144843056</v>
      </c>
      <c r="W38">
        <f t="shared" si="2"/>
        <v>213.24001183258466</v>
      </c>
      <c r="X38">
        <f t="shared" si="2"/>
        <v>190.14239835373408</v>
      </c>
      <c r="Y38">
        <f t="shared" si="2"/>
        <v>196.84981614561678</v>
      </c>
      <c r="Z38">
        <f t="shared" si="2"/>
        <v>175.17713300521891</v>
      </c>
      <c r="AA38">
        <f t="shared" si="2"/>
        <v>164.1212644950231</v>
      </c>
      <c r="AB38">
        <f t="shared" si="2"/>
        <v>146.41993124640211</v>
      </c>
    </row>
    <row r="39" spans="1:30" x14ac:dyDescent="0.3">
      <c r="D39" s="9" t="s">
        <v>67</v>
      </c>
      <c r="E39">
        <f>ABS(E38)</f>
        <v>61.731659552435794</v>
      </c>
      <c r="F39">
        <f t="shared" ref="F39:AB39" si="3">ABS(F38)</f>
        <v>121.67593828081311</v>
      </c>
      <c r="G39">
        <f t="shared" si="3"/>
        <v>133.31778396654821</v>
      </c>
      <c r="H39">
        <f t="shared" si="3"/>
        <v>130.8058074400484</v>
      </c>
      <c r="I39">
        <f t="shared" si="3"/>
        <v>144.07535123217934</v>
      </c>
      <c r="J39">
        <f t="shared" si="3"/>
        <v>149.33140215098291</v>
      </c>
      <c r="K39">
        <f t="shared" si="3"/>
        <v>147.91145102386773</v>
      </c>
      <c r="L39">
        <f t="shared" si="3"/>
        <v>155.72200358604795</v>
      </c>
      <c r="M39">
        <f t="shared" si="3"/>
        <v>72.554343494614528</v>
      </c>
      <c r="N39">
        <f t="shared" si="3"/>
        <v>29.772415834384446</v>
      </c>
      <c r="O39">
        <f t="shared" si="3"/>
        <v>10.742211330288541</v>
      </c>
      <c r="P39">
        <f t="shared" si="3"/>
        <v>67.977666049631324</v>
      </c>
      <c r="Q39">
        <f t="shared" si="3"/>
        <v>75.417724980243833</v>
      </c>
      <c r="R39">
        <f t="shared" si="3"/>
        <v>64.114831764901282</v>
      </c>
      <c r="S39">
        <f t="shared" si="3"/>
        <v>41.546462711413568</v>
      </c>
      <c r="T39">
        <f t="shared" si="3"/>
        <v>45.068132024134883</v>
      </c>
      <c r="U39">
        <f t="shared" si="3"/>
        <v>112.14972484286523</v>
      </c>
      <c r="V39">
        <f t="shared" si="3"/>
        <v>190.77980144843056</v>
      </c>
      <c r="W39">
        <f t="shared" si="3"/>
        <v>213.24001183258466</v>
      </c>
      <c r="X39">
        <f t="shared" si="3"/>
        <v>190.14239835373408</v>
      </c>
      <c r="Y39">
        <f t="shared" si="3"/>
        <v>196.84981614561678</v>
      </c>
      <c r="Z39">
        <f t="shared" si="3"/>
        <v>175.17713300521891</v>
      </c>
      <c r="AA39">
        <f t="shared" si="3"/>
        <v>164.1212644950231</v>
      </c>
      <c r="AB39">
        <f t="shared" si="3"/>
        <v>146.41993124640211</v>
      </c>
      <c r="AC39" s="10">
        <f>SUM(E39:AB39)</f>
        <v>2840.6452667924113</v>
      </c>
    </row>
    <row r="40" spans="1:30" x14ac:dyDescent="0.3">
      <c r="AD40" s="12">
        <f>SUM(AC39,AC42)</f>
        <v>3705.4275489635265</v>
      </c>
    </row>
    <row r="41" spans="1:30" x14ac:dyDescent="0.3">
      <c r="D41" s="9" t="s">
        <v>68</v>
      </c>
      <c r="E41">
        <f>E36-E3</f>
        <v>19.279814721604605</v>
      </c>
      <c r="F41">
        <f t="shared" ref="F41:AB41" si="4">F36-F3</f>
        <v>37.536609880920707</v>
      </c>
      <c r="G41">
        <f t="shared" si="4"/>
        <v>42.170267226569472</v>
      </c>
      <c r="H41">
        <f t="shared" si="4"/>
        <v>41.732878904158838</v>
      </c>
      <c r="I41">
        <f t="shared" si="4"/>
        <v>40.97658552616425</v>
      </c>
      <c r="J41">
        <f t="shared" si="4"/>
        <v>40.911349681396835</v>
      </c>
      <c r="K41">
        <f t="shared" si="4"/>
        <v>39.889328852469333</v>
      </c>
      <c r="L41">
        <f t="shared" si="4"/>
        <v>30.608623631134758</v>
      </c>
      <c r="M41">
        <f t="shared" si="4"/>
        <v>6.3389417776222601</v>
      </c>
      <c r="N41">
        <f t="shared" si="4"/>
        <v>4.8872684558756134</v>
      </c>
      <c r="O41">
        <f t="shared" si="4"/>
        <v>-6.1135847486387576</v>
      </c>
      <c r="P41">
        <f t="shared" si="4"/>
        <v>-17.67800249662146</v>
      </c>
      <c r="Q41">
        <f t="shared" si="4"/>
        <v>-19.790829621436771</v>
      </c>
      <c r="R41">
        <f t="shared" si="4"/>
        <v>-19.273585711483904</v>
      </c>
      <c r="S41">
        <f t="shared" si="4"/>
        <v>-8.255104226073982</v>
      </c>
      <c r="T41">
        <f t="shared" si="4"/>
        <v>17.433482980607437</v>
      </c>
      <c r="U41">
        <f t="shared" si="4"/>
        <v>42.002296392440726</v>
      </c>
      <c r="V41">
        <f t="shared" si="4"/>
        <v>66.129471538070064</v>
      </c>
      <c r="W41">
        <f t="shared" si="4"/>
        <v>70.510788375256595</v>
      </c>
      <c r="X41">
        <f t="shared" si="4"/>
        <v>56.675758912506552</v>
      </c>
      <c r="Y41">
        <f t="shared" si="4"/>
        <v>103.83248388654054</v>
      </c>
      <c r="Z41">
        <f t="shared" si="4"/>
        <v>46.040736614314582</v>
      </c>
      <c r="AA41">
        <f t="shared" si="4"/>
        <v>43.938610824600467</v>
      </c>
      <c r="AB41">
        <f t="shared" si="4"/>
        <v>42.775877184606415</v>
      </c>
    </row>
    <row r="42" spans="1:30" x14ac:dyDescent="0.3">
      <c r="D42" s="9" t="s">
        <v>70</v>
      </c>
      <c r="E42">
        <f>ABS(E41)</f>
        <v>19.279814721604605</v>
      </c>
      <c r="F42">
        <f t="shared" ref="F42:AB42" si="5">ABS(F41)</f>
        <v>37.536609880920707</v>
      </c>
      <c r="G42">
        <f t="shared" si="5"/>
        <v>42.170267226569472</v>
      </c>
      <c r="H42">
        <f t="shared" si="5"/>
        <v>41.732878904158838</v>
      </c>
      <c r="I42">
        <f t="shared" si="5"/>
        <v>40.97658552616425</v>
      </c>
      <c r="J42">
        <f t="shared" si="5"/>
        <v>40.911349681396835</v>
      </c>
      <c r="K42">
        <f t="shared" si="5"/>
        <v>39.889328852469333</v>
      </c>
      <c r="L42">
        <f t="shared" si="5"/>
        <v>30.608623631134758</v>
      </c>
      <c r="M42">
        <f t="shared" si="5"/>
        <v>6.3389417776222601</v>
      </c>
      <c r="N42">
        <f t="shared" si="5"/>
        <v>4.8872684558756134</v>
      </c>
      <c r="O42">
        <f t="shared" si="5"/>
        <v>6.1135847486387576</v>
      </c>
      <c r="P42">
        <f t="shared" si="5"/>
        <v>17.67800249662146</v>
      </c>
      <c r="Q42">
        <f t="shared" si="5"/>
        <v>19.790829621436771</v>
      </c>
      <c r="R42">
        <f t="shared" si="5"/>
        <v>19.273585711483904</v>
      </c>
      <c r="S42">
        <f t="shared" si="5"/>
        <v>8.255104226073982</v>
      </c>
      <c r="T42">
        <f t="shared" si="5"/>
        <v>17.433482980607437</v>
      </c>
      <c r="U42">
        <f t="shared" si="5"/>
        <v>42.002296392440726</v>
      </c>
      <c r="V42">
        <f t="shared" si="5"/>
        <v>66.129471538070064</v>
      </c>
      <c r="W42">
        <f t="shared" si="5"/>
        <v>70.510788375256595</v>
      </c>
      <c r="X42">
        <f t="shared" si="5"/>
        <v>56.675758912506552</v>
      </c>
      <c r="Y42">
        <f t="shared" si="5"/>
        <v>103.83248388654054</v>
      </c>
      <c r="Z42">
        <f t="shared" si="5"/>
        <v>46.040736614314582</v>
      </c>
      <c r="AA42">
        <f t="shared" si="5"/>
        <v>43.938610824600467</v>
      </c>
      <c r="AB42">
        <f t="shared" si="5"/>
        <v>42.775877184606415</v>
      </c>
      <c r="AC42" s="10">
        <f>SUM(E42:AB42)</f>
        <v>864.78228217111496</v>
      </c>
    </row>
  </sheetData>
  <conditionalFormatting sqref="E2:I3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{87BF1725-EEB4-4B59-81FF-12BDADABD041}</x14:id>
        </ext>
      </extLst>
    </cfRule>
  </conditionalFormatting>
  <conditionalFormatting sqref="X2:AB3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{0F71E26B-2B6B-4948-9E94-BD0377486BCC}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BF1725-EEB4-4B59-81FF-12BDADABD0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E2:I32</xm:sqref>
        </x14:conditionalFormatting>
        <x14:conditionalFormatting xmlns:xm="http://schemas.microsoft.com/office/excel/2006/main">
          <x14:cfRule type="dataBar" id="{0F71E26B-2B6B-4948-9E94-BD0377486B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X2:AB32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0D43-20BE-4C02-A3B6-03779F8EA84A}">
  <dimension ref="A1:L32"/>
  <sheetViews>
    <sheetView workbookViewId="0">
      <selection activeCell="G20" sqref="G20"/>
    </sheetView>
  </sheetViews>
  <sheetFormatPr defaultRowHeight="14.4" x14ac:dyDescent="0.3"/>
  <cols>
    <col min="2" max="2" width="27.21875" bestFit="1" customWidth="1"/>
  </cols>
  <sheetData>
    <row r="1" spans="1:12" x14ac:dyDescent="0.3">
      <c r="A1" s="1" t="s">
        <v>33</v>
      </c>
      <c r="B1" s="1" t="s">
        <v>0</v>
      </c>
      <c r="C1" s="5" t="s">
        <v>42</v>
      </c>
      <c r="D1" s="5" t="s">
        <v>43</v>
      </c>
      <c r="E1" s="5" t="s">
        <v>44</v>
      </c>
      <c r="F1" s="5" t="s">
        <v>45</v>
      </c>
      <c r="G1" s="5" t="s">
        <v>46</v>
      </c>
      <c r="H1" s="5" t="s">
        <v>47</v>
      </c>
      <c r="I1" s="5" t="s">
        <v>48</v>
      </c>
      <c r="J1" s="5" t="s">
        <v>49</v>
      </c>
      <c r="K1" s="5" t="s">
        <v>50</v>
      </c>
      <c r="L1" s="6" t="s">
        <v>32</v>
      </c>
    </row>
    <row r="2" spans="1:12" x14ac:dyDescent="0.3">
      <c r="A2" s="2"/>
      <c r="B2" s="2" t="s">
        <v>1</v>
      </c>
      <c r="C2" s="2">
        <v>102.35981789336921</v>
      </c>
      <c r="D2" s="2">
        <v>179.67635463770429</v>
      </c>
      <c r="E2" s="2">
        <v>250.79704277998277</v>
      </c>
      <c r="F2" s="2">
        <v>298.47202026715757</v>
      </c>
      <c r="G2" s="4">
        <v>303</v>
      </c>
      <c r="H2" s="2">
        <v>294.33778751243517</v>
      </c>
      <c r="I2" s="2">
        <v>263.54456213803229</v>
      </c>
      <c r="J2" s="2">
        <v>192.50810646988162</v>
      </c>
      <c r="K2" s="2">
        <v>108.46363556777368</v>
      </c>
      <c r="L2" s="8">
        <f>SUM(C2:K2)</f>
        <v>1993.1593272663365</v>
      </c>
    </row>
    <row r="3" spans="1:12" x14ac:dyDescent="0.3">
      <c r="A3" s="3"/>
      <c r="B3" s="3" t="s">
        <v>2</v>
      </c>
      <c r="C3" s="3">
        <v>42.987427961071823</v>
      </c>
      <c r="D3" s="3">
        <v>66.233519043990313</v>
      </c>
      <c r="E3" s="3">
        <v>89.758460594845673</v>
      </c>
      <c r="F3" s="3">
        <v>106.40866825580589</v>
      </c>
      <c r="G3" s="3">
        <v>110.4793925122369</v>
      </c>
      <c r="H3" s="3">
        <v>106.13792405430267</v>
      </c>
      <c r="I3" s="3">
        <v>95.588293629054732</v>
      </c>
      <c r="J3" s="3">
        <v>74.23384297365628</v>
      </c>
      <c r="K3" s="3">
        <v>46.494298769665662</v>
      </c>
      <c r="L3" s="8">
        <f t="shared" ref="L3:L32" si="0">SUM(C3:K3)</f>
        <v>738.32182779462983</v>
      </c>
    </row>
    <row r="4" spans="1:12" x14ac:dyDescent="0.3">
      <c r="A4" s="2">
        <v>0</v>
      </c>
      <c r="B4" s="2" t="s">
        <v>3</v>
      </c>
      <c r="C4" s="2">
        <v>13.54130741873303</v>
      </c>
      <c r="D4" s="2">
        <v>14.725333340641626</v>
      </c>
      <c r="E4" s="2">
        <v>16.661762574045952</v>
      </c>
      <c r="F4" s="2">
        <v>18.245030231923867</v>
      </c>
      <c r="G4" s="2">
        <v>19.830627567816101</v>
      </c>
      <c r="H4" s="2">
        <v>20.578770039876304</v>
      </c>
      <c r="I4" s="2">
        <v>20.769833329518637</v>
      </c>
      <c r="J4" s="2">
        <v>20.862662218087493</v>
      </c>
      <c r="K4" s="2">
        <v>21.328316650390626</v>
      </c>
      <c r="L4" s="8">
        <f t="shared" si="0"/>
        <v>166.54364337103365</v>
      </c>
    </row>
    <row r="5" spans="1:12" x14ac:dyDescent="0.3">
      <c r="A5" s="3">
        <v>1</v>
      </c>
      <c r="B5" s="3" t="s">
        <v>4</v>
      </c>
      <c r="C5" s="3">
        <v>1.2187879114891543E-2</v>
      </c>
      <c r="D5" s="3">
        <v>1.1915151741016995E-2</v>
      </c>
      <c r="E5" s="3">
        <v>1.7148809693199357E-2</v>
      </c>
      <c r="F5" s="3">
        <v>2.3048780733583168E-2</v>
      </c>
      <c r="G5" s="3">
        <v>2.4622754603735884E-2</v>
      </c>
      <c r="H5" s="3">
        <v>2.0760479114787976E-2</v>
      </c>
      <c r="I5" s="3">
        <v>2.2664670823392876E-2</v>
      </c>
      <c r="J5" s="3">
        <v>2.4714286184115784E-2</v>
      </c>
      <c r="K5" s="3">
        <v>2.2458333540790982E-2</v>
      </c>
      <c r="L5" s="8">
        <f t="shared" si="0"/>
        <v>0.17952114554951459</v>
      </c>
    </row>
    <row r="6" spans="1:12" x14ac:dyDescent="0.3">
      <c r="A6" s="2">
        <v>2</v>
      </c>
      <c r="B6" s="2" t="s">
        <v>5</v>
      </c>
      <c r="C6" s="2">
        <v>0.62447500340640549</v>
      </c>
      <c r="D6" s="2">
        <v>0.56418420913580203</v>
      </c>
      <c r="E6" s="2">
        <v>0.85682499343529384</v>
      </c>
      <c r="F6" s="2">
        <v>1.0950285630566734</v>
      </c>
      <c r="G6" s="2">
        <v>1.1365000030232799</v>
      </c>
      <c r="H6" s="2">
        <v>1.0851463362938016</v>
      </c>
      <c r="I6" s="2">
        <v>1.0306410250755467</v>
      </c>
      <c r="J6" s="2">
        <v>1.0047631687239595</v>
      </c>
      <c r="K6" s="2">
        <v>1.1883513488479562</v>
      </c>
      <c r="L6" s="8">
        <f t="shared" si="0"/>
        <v>8.5859146509987188</v>
      </c>
    </row>
    <row r="7" spans="1:12" x14ac:dyDescent="0.3">
      <c r="A7" s="3">
        <v>3</v>
      </c>
      <c r="B7" s="3" t="s">
        <v>6</v>
      </c>
      <c r="C7" s="3">
        <v>8.9196310841204784</v>
      </c>
      <c r="D7" s="3">
        <v>13.352357906887406</v>
      </c>
      <c r="E7" s="3">
        <v>18.351643045743305</v>
      </c>
      <c r="F7" s="3">
        <v>19.754222234799748</v>
      </c>
      <c r="G7" s="3">
        <v>19.797361582241312</v>
      </c>
      <c r="H7" s="3">
        <v>17.873578931155958</v>
      </c>
      <c r="I7" s="3">
        <v>17.798010594314999</v>
      </c>
      <c r="J7" s="3">
        <v>18.854960179060143</v>
      </c>
      <c r="K7" s="3">
        <v>18.50070713558738</v>
      </c>
      <c r="L7" s="8">
        <f t="shared" si="0"/>
        <v>153.20247269391075</v>
      </c>
    </row>
    <row r="8" spans="1:12" x14ac:dyDescent="0.3">
      <c r="A8" s="2">
        <v>4</v>
      </c>
      <c r="B8" s="2" t="s">
        <v>7</v>
      </c>
      <c r="C8" s="2">
        <v>6.2818794527939259</v>
      </c>
      <c r="D8" s="2">
        <v>10.189866627289705</v>
      </c>
      <c r="E8" s="2">
        <v>14.534941890007309</v>
      </c>
      <c r="F8" s="2">
        <v>15.407063375735223</v>
      </c>
      <c r="G8" s="2">
        <v>15.380825205366254</v>
      </c>
      <c r="H8" s="2">
        <v>14.735653209010987</v>
      </c>
      <c r="I8" s="2">
        <v>14.247459545890674</v>
      </c>
      <c r="J8" s="2">
        <v>14.351304440655642</v>
      </c>
      <c r="K8" s="2">
        <v>13.608772966943194</v>
      </c>
      <c r="L8" s="8">
        <f t="shared" si="0"/>
        <v>118.73776671369291</v>
      </c>
    </row>
    <row r="9" spans="1:12" x14ac:dyDescent="0.3">
      <c r="A9" s="3">
        <v>5</v>
      </c>
      <c r="B9" s="3" t="s">
        <v>8</v>
      </c>
      <c r="C9" s="3">
        <v>8.3735185508504735</v>
      </c>
      <c r="D9" s="3">
        <v>8.9086002395415651</v>
      </c>
      <c r="E9" s="3">
        <v>9.4691865883598272</v>
      </c>
      <c r="F9" s="3">
        <v>9.9920000102617834</v>
      </c>
      <c r="G9" s="3">
        <v>10.215561989797941</v>
      </c>
      <c r="H9" s="3">
        <v>10.326859216236036</v>
      </c>
      <c r="I9" s="3">
        <v>10.229506615365526</v>
      </c>
      <c r="J9" s="3">
        <v>10.270701922431519</v>
      </c>
      <c r="K9" s="3">
        <v>9.9235336608387748</v>
      </c>
      <c r="L9" s="8">
        <f t="shared" si="0"/>
        <v>87.709468793683442</v>
      </c>
    </row>
    <row r="10" spans="1:12" x14ac:dyDescent="0.3">
      <c r="A10" s="2">
        <v>6</v>
      </c>
      <c r="B10" s="2" t="s">
        <v>9</v>
      </c>
      <c r="C10" s="2">
        <v>27.528853086641956</v>
      </c>
      <c r="D10" s="2">
        <v>37.63925211422842</v>
      </c>
      <c r="E10" s="2">
        <v>40.636079703980364</v>
      </c>
      <c r="F10" s="2">
        <v>42.919142074861391</v>
      </c>
      <c r="G10" s="2">
        <v>43.866495694085394</v>
      </c>
      <c r="H10" s="2">
        <v>41.792653008730696</v>
      </c>
      <c r="I10" s="2">
        <v>42.472401174472147</v>
      </c>
      <c r="J10" s="2">
        <v>45.174314558329144</v>
      </c>
      <c r="K10" s="2">
        <v>42.443534920381943</v>
      </c>
      <c r="L10" s="8">
        <f t="shared" si="0"/>
        <v>364.4727263357114</v>
      </c>
    </row>
    <row r="11" spans="1:12" x14ac:dyDescent="0.3">
      <c r="A11" s="3">
        <v>7</v>
      </c>
      <c r="B11" s="3" t="s">
        <v>10</v>
      </c>
      <c r="C11" s="3">
        <v>2.0031884853208854</v>
      </c>
      <c r="D11" s="3">
        <v>2.1595295771728318</v>
      </c>
      <c r="E11" s="3">
        <v>2.75807582117362</v>
      </c>
      <c r="F11" s="3">
        <v>3.0125443961232725</v>
      </c>
      <c r="G11" s="3">
        <v>3.0592510941564139</v>
      </c>
      <c r="H11" s="3">
        <v>3.0966709958505985</v>
      </c>
      <c r="I11" s="3">
        <v>3.0789942569581079</v>
      </c>
      <c r="J11" s="3">
        <v>2.9830815442569638</v>
      </c>
      <c r="K11" s="3">
        <v>3.0299799397933351</v>
      </c>
      <c r="L11" s="8">
        <f t="shared" si="0"/>
        <v>25.18131611080603</v>
      </c>
    </row>
    <row r="12" spans="1:12" x14ac:dyDescent="0.3">
      <c r="A12" s="2">
        <v>8</v>
      </c>
      <c r="B12" s="2" t="s">
        <v>11</v>
      </c>
      <c r="C12" s="2">
        <v>3.2305145897267669</v>
      </c>
      <c r="D12" s="2">
        <v>3.6089561781085346</v>
      </c>
      <c r="E12" s="2">
        <v>4.141857136612531</v>
      </c>
      <c r="F12" s="2">
        <v>4.492495337235785</v>
      </c>
      <c r="G12" s="2">
        <v>4.6679784958000461</v>
      </c>
      <c r="H12" s="2">
        <v>4.7381119926373163</v>
      </c>
      <c r="I12" s="2">
        <v>4.5975172358419281</v>
      </c>
      <c r="J12" s="2">
        <v>4.576355913008352</v>
      </c>
      <c r="K12" s="2">
        <v>4.5482228121643677</v>
      </c>
      <c r="L12" s="8">
        <f t="shared" si="0"/>
        <v>38.602009691135628</v>
      </c>
    </row>
    <row r="13" spans="1:12" x14ac:dyDescent="0.3">
      <c r="A13" s="3">
        <v>9</v>
      </c>
      <c r="B13" s="3" t="s">
        <v>12</v>
      </c>
      <c r="C13" s="3">
        <v>13.455486023226264</v>
      </c>
      <c r="D13" s="3">
        <v>14.718326368757538</v>
      </c>
      <c r="E13" s="3">
        <v>15.283754878347965</v>
      </c>
      <c r="F13" s="3">
        <v>16.347775882950017</v>
      </c>
      <c r="G13" s="3">
        <v>17.182881122202307</v>
      </c>
      <c r="H13" s="3">
        <v>17.509068549012806</v>
      </c>
      <c r="I13" s="3">
        <v>17.174208386934978</v>
      </c>
      <c r="J13" s="3">
        <v>16.974361598070733</v>
      </c>
      <c r="K13" s="3">
        <v>16.786298461289586</v>
      </c>
      <c r="L13" s="8">
        <f t="shared" si="0"/>
        <v>145.43216127079219</v>
      </c>
    </row>
    <row r="14" spans="1:12" x14ac:dyDescent="0.3">
      <c r="A14" s="2">
        <v>10</v>
      </c>
      <c r="B14" s="2" t="s">
        <v>13</v>
      </c>
      <c r="C14" s="2">
        <v>8.4180916927787397</v>
      </c>
      <c r="D14" s="2">
        <v>11.789759790012409</v>
      </c>
      <c r="E14" s="2">
        <v>12.762279464688364</v>
      </c>
      <c r="F14" s="2">
        <v>12.847899567091829</v>
      </c>
      <c r="G14" s="2">
        <v>13.116720532746294</v>
      </c>
      <c r="H14" s="2">
        <v>12.343649115478783</v>
      </c>
      <c r="I14" s="2">
        <v>12.238800873798606</v>
      </c>
      <c r="J14" s="2">
        <v>12.755031094021268</v>
      </c>
      <c r="K14" s="2">
        <v>12.686734511788968</v>
      </c>
      <c r="L14" s="8">
        <f t="shared" si="0"/>
        <v>108.95896664240526</v>
      </c>
    </row>
    <row r="15" spans="1:12" x14ac:dyDescent="0.3">
      <c r="A15" s="3">
        <v>11</v>
      </c>
      <c r="B15" s="3" t="s">
        <v>14</v>
      </c>
      <c r="C15" s="3">
        <v>6.1971846103668211</v>
      </c>
      <c r="D15" s="3">
        <v>8.4326565302055307</v>
      </c>
      <c r="E15" s="3">
        <v>9.1377710076688814</v>
      </c>
      <c r="F15" s="3">
        <v>9.6797230793879567</v>
      </c>
      <c r="G15" s="3">
        <v>9.5317230481367847</v>
      </c>
      <c r="H15" s="3">
        <v>9.5690156240016222</v>
      </c>
      <c r="I15" s="3">
        <v>9.2646190609250745</v>
      </c>
      <c r="J15" s="3">
        <v>9.6689692607292788</v>
      </c>
      <c r="K15" s="3">
        <v>9.5234045727562364</v>
      </c>
      <c r="L15" s="8">
        <f t="shared" si="0"/>
        <v>81.005066794178191</v>
      </c>
    </row>
    <row r="16" spans="1:12" x14ac:dyDescent="0.3">
      <c r="A16" s="2">
        <v>12</v>
      </c>
      <c r="B16" s="2" t="s">
        <v>15</v>
      </c>
      <c r="C16" s="2">
        <v>3.8646307294071658</v>
      </c>
      <c r="D16" s="2">
        <v>5.2138398051571562</v>
      </c>
      <c r="E16" s="2">
        <v>5.4855317824640464</v>
      </c>
      <c r="F16" s="2">
        <v>5.5917215468276789</v>
      </c>
      <c r="G16" s="2">
        <v>5.7325650396003445</v>
      </c>
      <c r="H16" s="2">
        <v>5.6324509913693035</v>
      </c>
      <c r="I16" s="2">
        <v>5.4730101069444883</v>
      </c>
      <c r="J16" s="2">
        <v>5.4709858569768128</v>
      </c>
      <c r="K16" s="2">
        <v>5.3157699282998152</v>
      </c>
      <c r="L16" s="8">
        <f t="shared" si="0"/>
        <v>47.780505787046806</v>
      </c>
    </row>
    <row r="17" spans="1:12" x14ac:dyDescent="0.3">
      <c r="A17" s="3">
        <v>13</v>
      </c>
      <c r="B17" s="3" t="s">
        <v>16</v>
      </c>
      <c r="C17" s="3">
        <v>56.450401882582071</v>
      </c>
      <c r="D17" s="3">
        <v>57.300740085519138</v>
      </c>
      <c r="E17" s="3">
        <v>51.878453784202463</v>
      </c>
      <c r="F17" s="3">
        <v>44.061120419617161</v>
      </c>
      <c r="G17" s="3">
        <v>39.669677391779388</v>
      </c>
      <c r="H17" s="3">
        <v>38.460017415594429</v>
      </c>
      <c r="I17" s="3">
        <v>38.974759009947263</v>
      </c>
      <c r="J17" s="3">
        <v>36.746168705583351</v>
      </c>
      <c r="K17" s="3">
        <v>39.602044996387228</v>
      </c>
      <c r="L17" s="8">
        <f t="shared" si="0"/>
        <v>403.14338369121248</v>
      </c>
    </row>
    <row r="18" spans="1:12" x14ac:dyDescent="0.3">
      <c r="A18" s="2">
        <v>14</v>
      </c>
      <c r="B18" s="2" t="s">
        <v>17</v>
      </c>
      <c r="C18" s="2">
        <v>5.2211504923295857</v>
      </c>
      <c r="D18" s="2">
        <v>6.6560911501685389</v>
      </c>
      <c r="E18" s="2">
        <v>7.4569778182885109</v>
      </c>
      <c r="F18" s="2">
        <v>7.9984744769102507</v>
      </c>
      <c r="G18" s="2">
        <v>8.2453566301650767</v>
      </c>
      <c r="H18" s="2">
        <v>7.8078373982596307</v>
      </c>
      <c r="I18" s="2">
        <v>7.7872779336029714</v>
      </c>
      <c r="J18" s="2">
        <v>8.0012840543386794</v>
      </c>
      <c r="K18" s="2">
        <v>8.098505397544999</v>
      </c>
      <c r="L18" s="8">
        <f t="shared" si="0"/>
        <v>67.272955351608246</v>
      </c>
    </row>
    <row r="19" spans="1:12" x14ac:dyDescent="0.3">
      <c r="A19" s="3">
        <v>15</v>
      </c>
      <c r="B19" s="3" t="s">
        <v>18</v>
      </c>
      <c r="C19" s="3">
        <v>6.5577653455001679</v>
      </c>
      <c r="D19" s="3">
        <v>12.694934856283766</v>
      </c>
      <c r="E19" s="3">
        <v>20.251920676434008</v>
      </c>
      <c r="F19" s="3">
        <v>22.188872474786582</v>
      </c>
      <c r="G19" s="3">
        <v>23.037123612808376</v>
      </c>
      <c r="H19" s="3">
        <v>22.073874258313861</v>
      </c>
      <c r="I19" s="3">
        <v>22.326727268709377</v>
      </c>
      <c r="J19" s="3">
        <v>23.064247872460058</v>
      </c>
      <c r="K19" s="3">
        <v>22.654569808331281</v>
      </c>
      <c r="L19" s="8">
        <f t="shared" si="0"/>
        <v>174.85003617362744</v>
      </c>
    </row>
    <row r="20" spans="1:12" x14ac:dyDescent="0.3">
      <c r="A20" s="2">
        <v>16</v>
      </c>
      <c r="B20" s="2" t="s">
        <v>19</v>
      </c>
      <c r="C20" s="2">
        <v>0.35492263599845947</v>
      </c>
      <c r="D20" s="2">
        <v>0.5275386829131995</v>
      </c>
      <c r="E20" s="2">
        <v>1.1780254930975418</v>
      </c>
      <c r="F20" s="2">
        <v>1.4103892045942219</v>
      </c>
      <c r="G20" s="2">
        <v>1.4238535207342093</v>
      </c>
      <c r="H20" s="2">
        <v>1.3730903964300276</v>
      </c>
      <c r="I20" s="2">
        <v>1.3813948866445569</v>
      </c>
      <c r="J20" s="2">
        <v>1.3438895196988967</v>
      </c>
      <c r="K20" s="2">
        <v>1.3218426990919234</v>
      </c>
      <c r="L20" s="8">
        <f t="shared" si="0"/>
        <v>10.314947039203037</v>
      </c>
    </row>
    <row r="21" spans="1:12" x14ac:dyDescent="0.3">
      <c r="A21" s="3">
        <v>17</v>
      </c>
      <c r="B21" s="3" t="s">
        <v>20</v>
      </c>
      <c r="C21" s="3">
        <v>6.9610740714681842</v>
      </c>
      <c r="D21" s="3">
        <v>8.4579696306301031</v>
      </c>
      <c r="E21" s="3">
        <v>12.802934024409343</v>
      </c>
      <c r="F21" s="3">
        <v>9.8576179692584471</v>
      </c>
      <c r="G21" s="3">
        <v>9.6663265153027016</v>
      </c>
      <c r="H21" s="3">
        <v>9.4128718440724803</v>
      </c>
      <c r="I21" s="3">
        <v>9.1020553409267944</v>
      </c>
      <c r="J21" s="3">
        <v>9.0067724902478474</v>
      </c>
      <c r="K21" s="3">
        <v>9.1116945236980165</v>
      </c>
      <c r="L21" s="8">
        <f t="shared" si="0"/>
        <v>84.379316410013928</v>
      </c>
    </row>
    <row r="22" spans="1:12" x14ac:dyDescent="0.3">
      <c r="A22" s="2">
        <v>18</v>
      </c>
      <c r="B22" s="2" t="s">
        <v>21</v>
      </c>
      <c r="C22" s="2">
        <v>7.6023079274192691</v>
      </c>
      <c r="D22" s="2">
        <v>9.0475318211658742</v>
      </c>
      <c r="E22" s="2">
        <v>12.744264316406978</v>
      </c>
      <c r="F22" s="2">
        <v>15.645060303854564</v>
      </c>
      <c r="G22" s="2">
        <v>15.483677331631938</v>
      </c>
      <c r="H22" s="2">
        <v>16.098444436088442</v>
      </c>
      <c r="I22" s="2">
        <v>15.932846646720231</v>
      </c>
      <c r="J22" s="2">
        <v>15.034525618339197</v>
      </c>
      <c r="K22" s="2">
        <v>14.33726664346362</v>
      </c>
      <c r="L22" s="8">
        <f t="shared" si="0"/>
        <v>121.92592504509012</v>
      </c>
    </row>
    <row r="23" spans="1:12" x14ac:dyDescent="0.3">
      <c r="A23" s="3">
        <v>19</v>
      </c>
      <c r="B23" s="3" t="s">
        <v>22</v>
      </c>
      <c r="C23" s="3">
        <v>1.6707343753427266</v>
      </c>
      <c r="D23" s="3">
        <v>2.6018312441185119</v>
      </c>
      <c r="E23" s="3">
        <v>3.4967687517404555</v>
      </c>
      <c r="F23" s="3">
        <v>3.447327094007504</v>
      </c>
      <c r="G23" s="3">
        <v>3.5451572282509236</v>
      </c>
      <c r="H23" s="3">
        <v>3.3004639515869294</v>
      </c>
      <c r="I23" s="3">
        <v>3.3650376170780216</v>
      </c>
      <c r="J23" s="3">
        <v>3.5958589381278494</v>
      </c>
      <c r="K23" s="3">
        <v>3.448315626755357</v>
      </c>
      <c r="L23" s="8">
        <f t="shared" si="0"/>
        <v>28.471494827008279</v>
      </c>
    </row>
    <row r="24" spans="1:12" x14ac:dyDescent="0.3">
      <c r="A24" s="2">
        <v>20</v>
      </c>
      <c r="B24" s="2" t="s">
        <v>23</v>
      </c>
      <c r="C24" s="2">
        <v>4.5367353886793333</v>
      </c>
      <c r="D24" s="2">
        <v>9.6327043414732714</v>
      </c>
      <c r="E24" s="2">
        <v>10.475785070964346</v>
      </c>
      <c r="F24" s="2">
        <v>10.348690499951964</v>
      </c>
      <c r="G24" s="2">
        <v>10.231955054539249</v>
      </c>
      <c r="H24" s="2">
        <v>7.2495354397180858</v>
      </c>
      <c r="I24" s="2">
        <v>9.8686513408764132</v>
      </c>
      <c r="J24" s="2">
        <v>10.701311507465864</v>
      </c>
      <c r="K24" s="2">
        <v>9.9250675502114127</v>
      </c>
      <c r="L24" s="8">
        <f t="shared" si="0"/>
        <v>82.970436193879934</v>
      </c>
    </row>
    <row r="25" spans="1:12" x14ac:dyDescent="0.3">
      <c r="A25" s="3">
        <v>21</v>
      </c>
      <c r="B25" s="3" t="s">
        <v>24</v>
      </c>
      <c r="C25" s="3">
        <v>32.166703930780209</v>
      </c>
      <c r="D25" s="3">
        <v>33.129541484950799</v>
      </c>
      <c r="E25" s="3">
        <v>34.269888211894965</v>
      </c>
      <c r="F25" s="3">
        <v>34.398672223256007</v>
      </c>
      <c r="G25" s="3">
        <v>35.717487417140475</v>
      </c>
      <c r="H25" s="3">
        <v>35.048626572268823</v>
      </c>
      <c r="I25" s="3">
        <v>35.26247775554657</v>
      </c>
      <c r="J25" s="3">
        <v>35.520354533789892</v>
      </c>
      <c r="K25" s="3">
        <v>34.5809434476392</v>
      </c>
      <c r="L25" s="8">
        <f t="shared" si="0"/>
        <v>310.09469557726698</v>
      </c>
    </row>
    <row r="26" spans="1:12" x14ac:dyDescent="0.3">
      <c r="A26" s="2">
        <v>22</v>
      </c>
      <c r="B26" s="2" t="s">
        <v>25</v>
      </c>
      <c r="C26" s="2">
        <v>10.871234764741812</v>
      </c>
      <c r="D26" s="2">
        <v>14.951913764764523</v>
      </c>
      <c r="E26" s="2">
        <v>17.653367089822826</v>
      </c>
      <c r="F26" s="2">
        <v>17.198948200005461</v>
      </c>
      <c r="G26" s="2">
        <v>17.1888724217199</v>
      </c>
      <c r="H26" s="2">
        <v>16.291734452069548</v>
      </c>
      <c r="I26" s="2">
        <v>16.577837403712234</v>
      </c>
      <c r="J26" s="2">
        <v>16.179147280463877</v>
      </c>
      <c r="K26" s="2">
        <v>16.515419390413072</v>
      </c>
      <c r="L26" s="8">
        <f t="shared" si="0"/>
        <v>143.42847476771328</v>
      </c>
    </row>
    <row r="27" spans="1:12" x14ac:dyDescent="0.3">
      <c r="A27" s="3">
        <v>23</v>
      </c>
      <c r="B27" s="3" t="s">
        <v>26</v>
      </c>
      <c r="C27" s="3">
        <v>7.3001205561912208</v>
      </c>
      <c r="D27" s="3">
        <v>7.8449972577290978</v>
      </c>
      <c r="E27" s="3">
        <v>7.7357166164252682</v>
      </c>
      <c r="F27" s="3">
        <v>7.6863651058004727</v>
      </c>
      <c r="G27" s="3">
        <v>7.6231208934888732</v>
      </c>
      <c r="H27" s="3">
        <v>7.5838251556855081</v>
      </c>
      <c r="I27" s="3">
        <v>7.5106191615535804</v>
      </c>
      <c r="J27" s="3">
        <v>7.4818121524146903</v>
      </c>
      <c r="K27" s="3">
        <v>7.5044821993945394</v>
      </c>
      <c r="L27" s="8">
        <f t="shared" si="0"/>
        <v>68.271059098683253</v>
      </c>
    </row>
    <row r="28" spans="1:12" x14ac:dyDescent="0.3">
      <c r="A28" s="2">
        <v>24</v>
      </c>
      <c r="B28" s="2" t="s">
        <v>27</v>
      </c>
      <c r="C28" s="2">
        <v>4.6964104289603279</v>
      </c>
      <c r="D28" s="2">
        <v>5.0424069729440379</v>
      </c>
      <c r="E28" s="2">
        <v>5.0280491281636266</v>
      </c>
      <c r="F28" s="2">
        <v>5.1534566071320596</v>
      </c>
      <c r="G28" s="2">
        <v>5.1077104788355516</v>
      </c>
      <c r="H28" s="2">
        <v>5.1657636228099761</v>
      </c>
      <c r="I28" s="2">
        <v>5.1734211900915996</v>
      </c>
      <c r="J28" s="2">
        <v>5.1556750381749268</v>
      </c>
      <c r="K28" s="2">
        <v>5.1909920812441133</v>
      </c>
      <c r="L28" s="8">
        <f t="shared" si="0"/>
        <v>45.713885548356224</v>
      </c>
    </row>
    <row r="29" spans="1:12" x14ac:dyDescent="0.3">
      <c r="A29" s="3">
        <v>25</v>
      </c>
      <c r="B29" s="3" t="s">
        <v>28</v>
      </c>
      <c r="C29" s="3">
        <v>11.380042260367665</v>
      </c>
      <c r="D29" s="3">
        <v>12.616903651839497</v>
      </c>
      <c r="E29" s="3">
        <v>13.815953195590195</v>
      </c>
      <c r="F29" s="3">
        <v>14.61979985986523</v>
      </c>
      <c r="G29" s="3">
        <v>15.080473025776334</v>
      </c>
      <c r="H29" s="3">
        <v>14.839388463102162</v>
      </c>
      <c r="I29" s="3">
        <v>15.014181697224736</v>
      </c>
      <c r="J29" s="3">
        <v>15.245834855711728</v>
      </c>
      <c r="K29" s="3">
        <v>15.098008190784354</v>
      </c>
      <c r="L29" s="8">
        <f t="shared" si="0"/>
        <v>127.7105852002619</v>
      </c>
    </row>
    <row r="30" spans="1:12" x14ac:dyDescent="0.3">
      <c r="A30" s="2">
        <v>26</v>
      </c>
      <c r="B30" s="2" t="s">
        <v>29</v>
      </c>
      <c r="C30" s="2">
        <v>19.217340348477951</v>
      </c>
      <c r="D30" s="2">
        <v>20.277706819054966</v>
      </c>
      <c r="E30" s="2">
        <v>26.639847360344397</v>
      </c>
      <c r="F30" s="2">
        <v>21.32416028345088</v>
      </c>
      <c r="G30" s="2">
        <v>21.532423062966419</v>
      </c>
      <c r="H30" s="2">
        <v>32.142406043572102</v>
      </c>
      <c r="I30" s="2">
        <v>21.682663739662136</v>
      </c>
      <c r="J30" s="2">
        <v>37.107636331678279</v>
      </c>
      <c r="K30" s="2">
        <v>21.066447724033317</v>
      </c>
      <c r="L30" s="8">
        <f t="shared" si="0"/>
        <v>220.99063171324042</v>
      </c>
    </row>
    <row r="31" spans="1:12" x14ac:dyDescent="0.3">
      <c r="A31" s="3">
        <v>27</v>
      </c>
      <c r="B31" s="3" t="s">
        <v>30</v>
      </c>
      <c r="C31" s="3">
        <v>9.3931313331681086</v>
      </c>
      <c r="D31" s="3">
        <v>16.132484859890408</v>
      </c>
      <c r="E31" s="3">
        <v>20.196646468807955</v>
      </c>
      <c r="F31" s="3">
        <v>19.27653060154039</v>
      </c>
      <c r="G31" s="3">
        <v>18.8491836664628</v>
      </c>
      <c r="H31" s="3">
        <v>17.535798010199962</v>
      </c>
      <c r="I31" s="3">
        <v>17.615876291216033</v>
      </c>
      <c r="J31" s="3">
        <v>19.197278357043707</v>
      </c>
      <c r="K31" s="3">
        <v>17.656326581020743</v>
      </c>
      <c r="L31" s="8">
        <f t="shared" si="0"/>
        <v>155.85325616935012</v>
      </c>
    </row>
    <row r="32" spans="1:12" x14ac:dyDescent="0.3">
      <c r="A32" s="2">
        <v>28</v>
      </c>
      <c r="B32" s="2" t="s">
        <v>31</v>
      </c>
      <c r="C32" s="2">
        <v>1.1550233614413399</v>
      </c>
      <c r="D32" s="2">
        <v>1.3497064908982195</v>
      </c>
      <c r="E32" s="2">
        <v>1.6320355446500419</v>
      </c>
      <c r="F32" s="2">
        <v>1.7242390264493495</v>
      </c>
      <c r="G32" s="2">
        <v>1.7230241605319554</v>
      </c>
      <c r="H32" s="2">
        <v>1.6254580995116514</v>
      </c>
      <c r="I32" s="2">
        <v>1.5722855827048103</v>
      </c>
      <c r="J32" s="2">
        <v>1.6078453703705842</v>
      </c>
      <c r="K32" s="2">
        <v>1.578747686420334</v>
      </c>
      <c r="L32" s="8">
        <f t="shared" si="0"/>
        <v>13.968365322978284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98C55-25C8-4F57-A279-E9759228F3D7}">
  <dimension ref="A3:AD43"/>
  <sheetViews>
    <sheetView workbookViewId="0">
      <selection activeCell="B4" sqref="B4:D31"/>
    </sheetView>
  </sheetViews>
  <sheetFormatPr defaultRowHeight="14.4" x14ac:dyDescent="0.3"/>
  <cols>
    <col min="2" max="2" width="38.6640625" bestFit="1" customWidth="1"/>
    <col min="3" max="3" width="12.33203125" bestFit="1" customWidth="1"/>
    <col min="4" max="4" width="27.21875" bestFit="1" customWidth="1"/>
  </cols>
  <sheetData>
    <row r="3" spans="1:28" x14ac:dyDescent="0.3">
      <c r="A3" t="s">
        <v>33</v>
      </c>
      <c r="D3" s="1" t="s">
        <v>0</v>
      </c>
      <c r="E3" s="5" t="s">
        <v>34</v>
      </c>
      <c r="F3" s="5" t="s">
        <v>35</v>
      </c>
      <c r="G3" s="5" t="s">
        <v>36</v>
      </c>
      <c r="H3" s="5" t="s">
        <v>37</v>
      </c>
      <c r="I3" s="5" t="s">
        <v>38</v>
      </c>
      <c r="J3" s="5" t="s">
        <v>39</v>
      </c>
      <c r="K3" s="5" t="s">
        <v>40</v>
      </c>
      <c r="L3" s="5" t="s">
        <v>41</v>
      </c>
      <c r="M3" s="5" t="s">
        <v>42</v>
      </c>
      <c r="N3" s="5" t="s">
        <v>43</v>
      </c>
      <c r="O3" s="5" t="s">
        <v>44</v>
      </c>
      <c r="P3" s="5" t="s">
        <v>45</v>
      </c>
      <c r="Q3" s="5" t="s">
        <v>46</v>
      </c>
      <c r="R3" s="5" t="s">
        <v>47</v>
      </c>
      <c r="S3" s="5" t="s">
        <v>48</v>
      </c>
      <c r="T3" s="5" t="s">
        <v>49</v>
      </c>
      <c r="U3" s="5" t="s">
        <v>50</v>
      </c>
      <c r="V3" s="5" t="s">
        <v>51</v>
      </c>
      <c r="W3" s="5" t="s">
        <v>52</v>
      </c>
      <c r="X3" s="5" t="s">
        <v>53</v>
      </c>
      <c r="Y3" s="5" t="s">
        <v>54</v>
      </c>
      <c r="Z3" s="5" t="s">
        <v>55</v>
      </c>
      <c r="AA3" s="5" t="s">
        <v>56</v>
      </c>
      <c r="AB3" s="5" t="s">
        <v>57</v>
      </c>
    </row>
    <row r="4" spans="1:28" x14ac:dyDescent="0.3">
      <c r="B4" t="s">
        <v>63</v>
      </c>
      <c r="C4" t="s">
        <v>64</v>
      </c>
      <c r="D4" s="2" t="s">
        <v>1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1.2391696728483019</v>
      </c>
      <c r="K4" s="2">
        <v>2.8892355003688897</v>
      </c>
      <c r="L4" s="2">
        <v>31.768627931347368</v>
      </c>
      <c r="M4" s="2">
        <v>102.35981789336921</v>
      </c>
      <c r="N4" s="2">
        <v>179.67635463770429</v>
      </c>
      <c r="O4" s="2">
        <v>250.79704277998277</v>
      </c>
      <c r="P4" s="2">
        <v>298.47202026715757</v>
      </c>
      <c r="Q4" s="4">
        <v>303</v>
      </c>
      <c r="R4" s="2">
        <v>294.33778751243517</v>
      </c>
      <c r="S4" s="2">
        <v>263.54456213803229</v>
      </c>
      <c r="T4" s="2">
        <v>192.50810646988162</v>
      </c>
      <c r="U4" s="2">
        <v>108.46363556777368</v>
      </c>
      <c r="V4" s="2">
        <v>34.258632996414271</v>
      </c>
      <c r="W4" s="2">
        <v>10.753954710160615</v>
      </c>
      <c r="X4" s="2">
        <v>0</v>
      </c>
      <c r="Y4" s="2">
        <v>0</v>
      </c>
      <c r="Z4" s="2">
        <v>0</v>
      </c>
      <c r="AA4" s="2">
        <v>0</v>
      </c>
      <c r="AB4" s="2">
        <v>0</v>
      </c>
    </row>
    <row r="5" spans="1:28" x14ac:dyDescent="0.3">
      <c r="D5" s="3" t="s">
        <v>2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9.7461933563203543E-4</v>
      </c>
      <c r="K5" s="3">
        <v>1.6487309765732527</v>
      </c>
      <c r="L5" s="3">
        <v>12.890152296684864</v>
      </c>
      <c r="M5" s="3">
        <v>42.987427961071823</v>
      </c>
      <c r="N5" s="3">
        <v>66.233519043990313</v>
      </c>
      <c r="O5" s="3">
        <v>89.758460594845673</v>
      </c>
      <c r="P5" s="3">
        <v>106.40866825580589</v>
      </c>
      <c r="Q5" s="3">
        <v>110.4793925122369</v>
      </c>
      <c r="R5" s="3">
        <v>106.13792405430267</v>
      </c>
      <c r="S5" s="3">
        <v>95.588293629054732</v>
      </c>
      <c r="T5" s="3">
        <v>74.23384297365628</v>
      </c>
      <c r="U5" s="3">
        <v>46.494298769665662</v>
      </c>
      <c r="V5" s="3">
        <v>18.104222825886325</v>
      </c>
      <c r="W5" s="3">
        <v>2.9005772391074798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>
        <v>0</v>
      </c>
      <c r="B6">
        <v>1</v>
      </c>
      <c r="C6">
        <v>0</v>
      </c>
      <c r="D6" s="2" t="s">
        <v>3</v>
      </c>
      <c r="E6" s="2">
        <v>5.865442938452599</v>
      </c>
      <c r="F6" s="2">
        <v>14.084890007972717</v>
      </c>
      <c r="G6" s="2">
        <v>14.807862908545147</v>
      </c>
      <c r="H6" s="2">
        <v>14.575781851006834</v>
      </c>
      <c r="I6" s="2">
        <v>13.856695657589762</v>
      </c>
      <c r="J6" s="2">
        <v>13.326889280504828</v>
      </c>
      <c r="K6" s="2">
        <v>13.08731649540089</v>
      </c>
      <c r="L6" s="2">
        <v>13.058464629882915</v>
      </c>
      <c r="M6" s="2">
        <v>13.54130741873303</v>
      </c>
      <c r="N6" s="2">
        <v>14.725333340641626</v>
      </c>
      <c r="O6" s="2">
        <v>16.661762574045952</v>
      </c>
      <c r="P6" s="2">
        <v>18.245030231923867</v>
      </c>
      <c r="Q6" s="2">
        <v>19.830627567816101</v>
      </c>
      <c r="R6" s="2">
        <v>20.578770039876304</v>
      </c>
      <c r="S6" s="2">
        <v>20.769833329518637</v>
      </c>
      <c r="T6" s="2">
        <v>20.862662218087493</v>
      </c>
      <c r="U6" s="2">
        <v>21.328316650390626</v>
      </c>
      <c r="V6" s="2">
        <v>21.52291976648031</v>
      </c>
      <c r="W6" s="2">
        <v>21.384103679338029</v>
      </c>
      <c r="X6" s="2">
        <v>21.311425224887177</v>
      </c>
      <c r="Y6" s="2">
        <v>20.874827275640545</v>
      </c>
      <c r="Z6" s="2">
        <v>20.092438588506756</v>
      </c>
      <c r="AA6" s="2">
        <v>18.719219212516204</v>
      </c>
      <c r="AB6" s="2">
        <v>17.236325527742459</v>
      </c>
    </row>
    <row r="7" spans="1:28" x14ac:dyDescent="0.3">
      <c r="A7">
        <v>1</v>
      </c>
      <c r="B7">
        <v>0</v>
      </c>
      <c r="C7">
        <v>0</v>
      </c>
      <c r="D7" s="3" t="s">
        <v>4</v>
      </c>
      <c r="E7" s="3">
        <v>5.7440476597375497E-3</v>
      </c>
      <c r="F7" s="3">
        <v>1.2291667007264634E-2</v>
      </c>
      <c r="G7" s="3">
        <v>1.2380952381395865E-2</v>
      </c>
      <c r="H7" s="3">
        <v>1.2386904863108479E-2</v>
      </c>
      <c r="I7" s="3">
        <v>1.2363095612575613E-2</v>
      </c>
      <c r="J7" s="3">
        <v>1.2261904953491115E-2</v>
      </c>
      <c r="K7" s="3">
        <v>1.2248484835480199E-2</v>
      </c>
      <c r="L7" s="3">
        <v>1.2206060631257117E-2</v>
      </c>
      <c r="M7" s="3">
        <v>1.2187879114891543E-2</v>
      </c>
      <c r="N7" s="3">
        <v>1.1915151741016995E-2</v>
      </c>
      <c r="O7" s="3">
        <v>1.7148809693199357E-2</v>
      </c>
      <c r="P7" s="3">
        <v>2.3048780733583168E-2</v>
      </c>
      <c r="Q7" s="3">
        <v>2.4622754603735884E-2</v>
      </c>
      <c r="R7" s="3">
        <v>2.0760479114787976E-2</v>
      </c>
      <c r="S7" s="3">
        <v>2.2664670823392876E-2</v>
      </c>
      <c r="T7" s="3">
        <v>2.4714286184115784E-2</v>
      </c>
      <c r="U7" s="3">
        <v>2.2458333540790982E-2</v>
      </c>
      <c r="V7" s="3">
        <v>1.550898211868759E-2</v>
      </c>
      <c r="W7" s="3">
        <v>2.0335329606610462E-2</v>
      </c>
      <c r="X7" s="3">
        <v>1.5275449363771308E-2</v>
      </c>
      <c r="Y7" s="3">
        <v>1.2101796394336723E-2</v>
      </c>
      <c r="Z7" s="3">
        <v>1.2053571863188632E-2</v>
      </c>
      <c r="AA7" s="3">
        <v>1.2095238082110878E-2</v>
      </c>
      <c r="AB7" s="3">
        <v>1.2166666742857723E-2</v>
      </c>
    </row>
    <row r="8" spans="1:28" x14ac:dyDescent="0.3">
      <c r="A8">
        <v>2</v>
      </c>
      <c r="B8">
        <v>1</v>
      </c>
      <c r="C8">
        <v>0</v>
      </c>
      <c r="D8" s="2" t="s">
        <v>5</v>
      </c>
      <c r="E8" s="2">
        <v>0.17136170160263142</v>
      </c>
      <c r="F8" s="2">
        <v>0.34786956595337915</v>
      </c>
      <c r="G8" s="2">
        <v>0.36634090915322304</v>
      </c>
      <c r="H8" s="2">
        <v>0.34829545664516359</v>
      </c>
      <c r="I8" s="2">
        <v>0.40721951443247678</v>
      </c>
      <c r="J8" s="2">
        <v>0.39683333287636446</v>
      </c>
      <c r="K8" s="2">
        <v>0.40139024650178307</v>
      </c>
      <c r="L8" s="2">
        <v>0.36019512320437075</v>
      </c>
      <c r="M8" s="2">
        <v>0.62447500340640549</v>
      </c>
      <c r="N8" s="2">
        <v>0.56418420913580203</v>
      </c>
      <c r="O8" s="2">
        <v>0.85682499343529384</v>
      </c>
      <c r="P8" s="2">
        <v>1.0950285630566734</v>
      </c>
      <c r="Q8" s="2">
        <v>1.1365000030232799</v>
      </c>
      <c r="R8" s="2">
        <v>1.0851463362938016</v>
      </c>
      <c r="S8" s="2">
        <v>1.0306410250755467</v>
      </c>
      <c r="T8" s="2">
        <v>1.0047631687239595</v>
      </c>
      <c r="U8" s="2">
        <v>1.1883513488479562</v>
      </c>
      <c r="V8" s="2">
        <v>1.2007027006632576</v>
      </c>
      <c r="W8" s="2">
        <v>1.3079999971546625</v>
      </c>
      <c r="X8" s="2">
        <v>1.2039268238515386</v>
      </c>
      <c r="Y8" s="2">
        <v>54.907101814945669</v>
      </c>
      <c r="Z8" s="2">
        <v>0.72156410263134896</v>
      </c>
      <c r="AA8" s="2">
        <v>0.64273170908776744</v>
      </c>
      <c r="AB8" s="2">
        <v>0.49523077150567985</v>
      </c>
    </row>
    <row r="9" spans="1:28" x14ac:dyDescent="0.3">
      <c r="A9">
        <v>3</v>
      </c>
      <c r="B9">
        <v>1</v>
      </c>
      <c r="C9">
        <v>0</v>
      </c>
      <c r="D9" s="3" t="s">
        <v>6</v>
      </c>
      <c r="E9" s="3">
        <v>3.4713245377750543</v>
      </c>
      <c r="F9" s="3">
        <v>8.111282331176044</v>
      </c>
      <c r="G9" s="3">
        <v>8.7260500703875721</v>
      </c>
      <c r="H9" s="3">
        <v>8.7003060541555559</v>
      </c>
      <c r="I9" s="3">
        <v>8.6729722275759151</v>
      </c>
      <c r="J9" s="3">
        <v>8.6482743964503506</v>
      </c>
      <c r="K9" s="3">
        <v>8.6236622653174209</v>
      </c>
      <c r="L9" s="3">
        <v>8.5837889226413964</v>
      </c>
      <c r="M9" s="3">
        <v>8.9196310841204784</v>
      </c>
      <c r="N9" s="3">
        <v>13.352357906887406</v>
      </c>
      <c r="O9" s="3">
        <v>18.351643045743305</v>
      </c>
      <c r="P9" s="3">
        <v>19.754222234799748</v>
      </c>
      <c r="Q9" s="3">
        <v>19.797361582241312</v>
      </c>
      <c r="R9" s="3">
        <v>17.873578931155958</v>
      </c>
      <c r="S9" s="3">
        <v>17.798010594314999</v>
      </c>
      <c r="T9" s="3">
        <v>18.854960179060143</v>
      </c>
      <c r="U9" s="3">
        <v>18.50070713558738</v>
      </c>
      <c r="V9" s="3">
        <v>16.999670665260965</v>
      </c>
      <c r="W9" s="3">
        <v>11.104872340613857</v>
      </c>
      <c r="X9" s="3">
        <v>9.3449684068560597</v>
      </c>
      <c r="Y9" s="3">
        <v>8.9501343885036633</v>
      </c>
      <c r="Z9" s="3">
        <v>8.8644026464184389</v>
      </c>
      <c r="AA9" s="3">
        <v>8.7224095176359153</v>
      </c>
      <c r="AB9" s="3">
        <v>8.7258891712549804</v>
      </c>
    </row>
    <row r="10" spans="1:28" x14ac:dyDescent="0.3">
      <c r="A10">
        <v>4</v>
      </c>
      <c r="B10">
        <v>1</v>
      </c>
      <c r="C10">
        <v>0</v>
      </c>
      <c r="D10" s="2" t="s">
        <v>7</v>
      </c>
      <c r="E10" s="2">
        <v>2.4201945198006487</v>
      </c>
      <c r="F10" s="2">
        <v>4.7407335639434169</v>
      </c>
      <c r="G10" s="2">
        <v>4.9972078211859472</v>
      </c>
      <c r="H10" s="2">
        <v>5.0436280179959052</v>
      </c>
      <c r="I10" s="2">
        <v>4.9265169576375882</v>
      </c>
      <c r="J10" s="2">
        <v>4.9217486576264129</v>
      </c>
      <c r="K10" s="2">
        <v>5.1552289128449829</v>
      </c>
      <c r="L10" s="2">
        <v>5.4167253317365214</v>
      </c>
      <c r="M10" s="2">
        <v>6.2818794527939259</v>
      </c>
      <c r="N10" s="2">
        <v>10.189866627289705</v>
      </c>
      <c r="O10" s="2">
        <v>14.534941890007309</v>
      </c>
      <c r="P10" s="2">
        <v>15.407063375735223</v>
      </c>
      <c r="Q10" s="2">
        <v>15.380825205366254</v>
      </c>
      <c r="R10" s="2">
        <v>14.735653209010987</v>
      </c>
      <c r="S10" s="2">
        <v>14.247459545890674</v>
      </c>
      <c r="T10" s="2">
        <v>14.351304440655642</v>
      </c>
      <c r="U10" s="2">
        <v>13.608772966943194</v>
      </c>
      <c r="V10" s="2">
        <v>11.707000928096454</v>
      </c>
      <c r="W10" s="2">
        <v>7.7425265006146997</v>
      </c>
      <c r="X10" s="2">
        <v>6.2526759340915206</v>
      </c>
      <c r="Y10" s="2">
        <v>5.5222212259365389</v>
      </c>
      <c r="Z10" s="2">
        <v>5.3514950388338756</v>
      </c>
      <c r="AA10" s="2">
        <v>5.1706026878199571</v>
      </c>
      <c r="AB10" s="2">
        <v>5.0505781962138441</v>
      </c>
    </row>
    <row r="11" spans="1:28" x14ac:dyDescent="0.3">
      <c r="A11">
        <v>5</v>
      </c>
      <c r="B11">
        <v>1</v>
      </c>
      <c r="C11">
        <v>0</v>
      </c>
      <c r="D11" s="3" t="s">
        <v>8</v>
      </c>
      <c r="E11" s="3">
        <v>3.4258395204242476</v>
      </c>
      <c r="F11" s="3">
        <v>7.4039042955576377</v>
      </c>
      <c r="G11" s="3">
        <v>8.00505868702413</v>
      </c>
      <c r="H11" s="3">
        <v>8.0202347480429861</v>
      </c>
      <c r="I11" s="3">
        <v>7.9564038408929125</v>
      </c>
      <c r="J11" s="3">
        <v>7.9448163536514773</v>
      </c>
      <c r="K11" s="3">
        <v>7.8743249188624453</v>
      </c>
      <c r="L11" s="3">
        <v>7.924187505114018</v>
      </c>
      <c r="M11" s="3">
        <v>8.3735185508504735</v>
      </c>
      <c r="N11" s="3">
        <v>8.9086002395415651</v>
      </c>
      <c r="O11" s="3">
        <v>9.4691865883598272</v>
      </c>
      <c r="P11" s="3">
        <v>9.9920000102617834</v>
      </c>
      <c r="Q11" s="3">
        <v>10.215561989797941</v>
      </c>
      <c r="R11" s="3">
        <v>10.326859216236036</v>
      </c>
      <c r="S11" s="3">
        <v>10.229506615365526</v>
      </c>
      <c r="T11" s="3">
        <v>10.270701922431519</v>
      </c>
      <c r="U11" s="3">
        <v>9.9235336608387748</v>
      </c>
      <c r="V11" s="3">
        <v>9.5468564660734803</v>
      </c>
      <c r="W11" s="3">
        <v>8.8729539982135659</v>
      </c>
      <c r="X11" s="3">
        <v>8.4817644393590932</v>
      </c>
      <c r="Y11" s="3">
        <v>8.2243798103299905</v>
      </c>
      <c r="Z11" s="3">
        <v>8.1631164591656589</v>
      </c>
      <c r="AA11" s="3">
        <v>8.0849375022763308</v>
      </c>
      <c r="AB11" s="3">
        <v>7.991442323492195</v>
      </c>
    </row>
    <row r="12" spans="1:28" x14ac:dyDescent="0.3">
      <c r="A12">
        <v>6</v>
      </c>
      <c r="B12">
        <v>1</v>
      </c>
      <c r="C12">
        <v>0</v>
      </c>
      <c r="D12" s="3" t="s">
        <v>10</v>
      </c>
      <c r="E12" s="3">
        <v>0.90048784082665512</v>
      </c>
      <c r="F12" s="3">
        <v>1.8720282895656506</v>
      </c>
      <c r="G12" s="3">
        <v>2.0237784144227398</v>
      </c>
      <c r="H12" s="3">
        <v>2.0143209164318385</v>
      </c>
      <c r="I12" s="3">
        <v>1.9905499978583039</v>
      </c>
      <c r="J12" s="3">
        <v>1.9683585714894747</v>
      </c>
      <c r="K12" s="3">
        <v>1.9743712240022691</v>
      </c>
      <c r="L12" s="3">
        <v>1.9674224098149122</v>
      </c>
      <c r="M12" s="3">
        <v>2.0031884853208854</v>
      </c>
      <c r="N12" s="3">
        <v>2.1595295771728318</v>
      </c>
      <c r="O12" s="3">
        <v>2.75807582117362</v>
      </c>
      <c r="P12" s="3">
        <v>3.0125443961232725</v>
      </c>
      <c r="Q12" s="3">
        <v>3.0592510941564139</v>
      </c>
      <c r="R12" s="3">
        <v>3.0966709958505985</v>
      </c>
      <c r="S12" s="3">
        <v>3.0789942569581079</v>
      </c>
      <c r="T12" s="3">
        <v>2.9830815442569638</v>
      </c>
      <c r="U12" s="3">
        <v>3.0299799397933351</v>
      </c>
      <c r="V12" s="3">
        <v>8.083940716038553</v>
      </c>
      <c r="W12" s="3">
        <v>2.8152281239411994</v>
      </c>
      <c r="X12" s="3">
        <v>2.560886521150477</v>
      </c>
      <c r="Y12" s="3">
        <v>2.3228895197135708</v>
      </c>
      <c r="Z12" s="3">
        <v>2.1431499984910314</v>
      </c>
      <c r="AA12" s="3">
        <v>2.055152422163776</v>
      </c>
      <c r="AB12" s="3">
        <v>2.037025679116431</v>
      </c>
    </row>
    <row r="13" spans="1:28" x14ac:dyDescent="0.3">
      <c r="A13">
        <v>7</v>
      </c>
      <c r="B13">
        <v>1</v>
      </c>
      <c r="C13">
        <v>0</v>
      </c>
      <c r="D13" s="2" t="s">
        <v>11</v>
      </c>
      <c r="E13" s="2">
        <v>1.5604074090108198</v>
      </c>
      <c r="F13" s="2">
        <v>3.149576726315356</v>
      </c>
      <c r="G13" s="2">
        <v>3.4125145877506435</v>
      </c>
      <c r="H13" s="2">
        <v>3.3596874128509042</v>
      </c>
      <c r="I13" s="2">
        <v>3.3415132228028837</v>
      </c>
      <c r="J13" s="2">
        <v>3.2609259295597592</v>
      </c>
      <c r="K13" s="2">
        <v>3.2966170228542166</v>
      </c>
      <c r="L13" s="2">
        <v>3.2481485421050449</v>
      </c>
      <c r="M13" s="2">
        <v>3.2305145897267669</v>
      </c>
      <c r="N13" s="2">
        <v>3.6089561781085346</v>
      </c>
      <c r="O13" s="2">
        <v>4.141857136612531</v>
      </c>
      <c r="P13" s="2">
        <v>4.492495337235785</v>
      </c>
      <c r="Q13" s="2">
        <v>4.6679784958000461</v>
      </c>
      <c r="R13" s="2">
        <v>4.7381119926373163</v>
      </c>
      <c r="S13" s="2">
        <v>4.5975172358419281</v>
      </c>
      <c r="T13" s="2">
        <v>4.576355913008352</v>
      </c>
      <c r="U13" s="2">
        <v>4.5482228121643677</v>
      </c>
      <c r="V13" s="2">
        <v>4.3847765902929163</v>
      </c>
      <c r="W13" s="2">
        <v>4.2503009379386265</v>
      </c>
      <c r="X13" s="2">
        <v>3.8689329695685619</v>
      </c>
      <c r="Y13" s="2">
        <v>3.6548229022207019</v>
      </c>
      <c r="Z13" s="2">
        <v>3.4717177104021362</v>
      </c>
      <c r="AA13" s="2">
        <v>3.426691391768045</v>
      </c>
      <c r="AB13" s="2">
        <v>3.4224031886347723</v>
      </c>
    </row>
    <row r="14" spans="1:28" x14ac:dyDescent="0.3">
      <c r="A14">
        <v>8</v>
      </c>
      <c r="B14">
        <v>1</v>
      </c>
      <c r="C14">
        <v>0</v>
      </c>
      <c r="D14" s="3" t="s">
        <v>12</v>
      </c>
      <c r="E14" s="3">
        <v>4.833396123582884</v>
      </c>
      <c r="F14" s="3">
        <v>9.218677697492863</v>
      </c>
      <c r="G14" s="3">
        <v>9.7941377415801547</v>
      </c>
      <c r="H14" s="3">
        <v>9.7692649172678401</v>
      </c>
      <c r="I14" s="3">
        <v>9.6709363274792217</v>
      </c>
      <c r="J14" s="3">
        <v>9.681608878685763</v>
      </c>
      <c r="K14" s="3">
        <v>9.8524728780495767</v>
      </c>
      <c r="L14" s="3">
        <v>11.129811139239205</v>
      </c>
      <c r="M14" s="3">
        <v>13.455486023226264</v>
      </c>
      <c r="N14" s="3">
        <v>14.718326368757538</v>
      </c>
      <c r="O14" s="3">
        <v>15.283754878347965</v>
      </c>
      <c r="P14" s="3">
        <v>16.347775882950017</v>
      </c>
      <c r="Q14" s="3">
        <v>17.182881122202307</v>
      </c>
      <c r="R14" s="3">
        <v>17.509068549012806</v>
      </c>
      <c r="S14" s="3">
        <v>17.174208386934978</v>
      </c>
      <c r="T14" s="3">
        <v>16.974361598070733</v>
      </c>
      <c r="U14" s="3">
        <v>16.786298461289586</v>
      </c>
      <c r="V14" s="3">
        <v>16.191854891833568</v>
      </c>
      <c r="W14" s="3">
        <v>15.652050185901849</v>
      </c>
      <c r="X14" s="3">
        <v>14.097997196133001</v>
      </c>
      <c r="Y14" s="3">
        <v>12.925344432476495</v>
      </c>
      <c r="Z14" s="3">
        <v>12.031119749157542</v>
      </c>
      <c r="AA14" s="3">
        <v>10.82965096600168</v>
      </c>
      <c r="AB14" s="3">
        <v>10.113801100677218</v>
      </c>
    </row>
    <row r="15" spans="1:28" x14ac:dyDescent="0.3">
      <c r="A15">
        <v>9</v>
      </c>
      <c r="B15">
        <v>1</v>
      </c>
      <c r="C15">
        <v>0</v>
      </c>
      <c r="D15" s="2" t="s">
        <v>13</v>
      </c>
      <c r="E15" s="2">
        <v>4.3297903964613198</v>
      </c>
      <c r="F15" s="2">
        <v>7.2236244439037609</v>
      </c>
      <c r="G15" s="2">
        <v>7.8540130785979558</v>
      </c>
      <c r="H15" s="2">
        <v>7.8968340528063381</v>
      </c>
      <c r="I15" s="2">
        <v>7.7771615690539502</v>
      </c>
      <c r="J15" s="2">
        <v>7.7935196593338745</v>
      </c>
      <c r="K15" s="2">
        <v>7.8290524107920554</v>
      </c>
      <c r="L15" s="2">
        <v>7.8052707363944904</v>
      </c>
      <c r="M15" s="2">
        <v>8.4180916927787397</v>
      </c>
      <c r="N15" s="2">
        <v>11.789759790012409</v>
      </c>
      <c r="O15" s="2">
        <v>12.762279464688364</v>
      </c>
      <c r="P15" s="2">
        <v>12.847899567091829</v>
      </c>
      <c r="Q15" s="2">
        <v>13.116720532746294</v>
      </c>
      <c r="R15" s="2">
        <v>12.343649115478783</v>
      </c>
      <c r="S15" s="2">
        <v>12.238800873798606</v>
      </c>
      <c r="T15" s="2">
        <v>12.755031094021268</v>
      </c>
      <c r="U15" s="2">
        <v>12.686734511788968</v>
      </c>
      <c r="V15" s="2">
        <v>12.636678452008624</v>
      </c>
      <c r="W15" s="2">
        <v>10.424776332420215</v>
      </c>
      <c r="X15" s="2">
        <v>9.0037092427325138</v>
      </c>
      <c r="Y15" s="2">
        <v>8.2972995594209511</v>
      </c>
      <c r="Z15" s="2">
        <v>8.0119167001623861</v>
      </c>
      <c r="AA15" s="2">
        <v>7.9496622692074688</v>
      </c>
      <c r="AB15" s="2">
        <v>8.005964758112567</v>
      </c>
    </row>
    <row r="16" spans="1:28" x14ac:dyDescent="0.3">
      <c r="A16">
        <v>10</v>
      </c>
      <c r="B16">
        <v>1</v>
      </c>
      <c r="C16">
        <v>0</v>
      </c>
      <c r="D16" s="3" t="s">
        <v>14</v>
      </c>
      <c r="E16" s="3">
        <v>1.9329640342177248</v>
      </c>
      <c r="F16" s="3">
        <v>5.4289855075919107</v>
      </c>
      <c r="G16" s="3">
        <v>5.972631573677063</v>
      </c>
      <c r="H16" s="3">
        <v>5.8490454590681829</v>
      </c>
      <c r="I16" s="3">
        <v>5.785656720844667</v>
      </c>
      <c r="J16" s="3">
        <v>5.6501791156939607</v>
      </c>
      <c r="K16" s="3">
        <v>5.8938102426320098</v>
      </c>
      <c r="L16" s="3">
        <v>5.8326222296114318</v>
      </c>
      <c r="M16" s="3">
        <v>6.1971846103668211</v>
      </c>
      <c r="N16" s="3">
        <v>8.4326565302055307</v>
      </c>
      <c r="O16" s="3">
        <v>9.1377710076688814</v>
      </c>
      <c r="P16" s="3">
        <v>9.6797230793879567</v>
      </c>
      <c r="Q16" s="3">
        <v>9.5317230481367847</v>
      </c>
      <c r="R16" s="3">
        <v>9.5690156240016222</v>
      </c>
      <c r="S16" s="3">
        <v>9.2646190609250745</v>
      </c>
      <c r="T16" s="3">
        <v>9.6689692607292788</v>
      </c>
      <c r="U16" s="3">
        <v>9.5234045727562364</v>
      </c>
      <c r="V16" s="3">
        <v>9.7311007967290948</v>
      </c>
      <c r="W16" s="3">
        <v>8.2021230660952078</v>
      </c>
      <c r="X16" s="3">
        <v>6.9915328478291086</v>
      </c>
      <c r="Y16" s="3">
        <v>6.5425151577501586</v>
      </c>
      <c r="Z16" s="3">
        <v>6.3419083984753559</v>
      </c>
      <c r="AA16" s="3">
        <v>5.899007505044005</v>
      </c>
      <c r="AB16" s="3">
        <v>5.8727575847596833</v>
      </c>
    </row>
    <row r="17" spans="1:28" x14ac:dyDescent="0.3">
      <c r="A17">
        <v>11</v>
      </c>
      <c r="B17">
        <v>1</v>
      </c>
      <c r="C17">
        <v>0</v>
      </c>
      <c r="D17" s="2" t="s">
        <v>15</v>
      </c>
      <c r="E17" s="2">
        <v>1.4272705306620419</v>
      </c>
      <c r="F17" s="2">
        <v>2.6071412813189063</v>
      </c>
      <c r="G17" s="2">
        <v>2.7607931255353035</v>
      </c>
      <c r="H17" s="2">
        <v>2.7369812914225911</v>
      </c>
      <c r="I17" s="2">
        <v>2.6608774632532985</v>
      </c>
      <c r="J17" s="2">
        <v>2.6472921099819531</v>
      </c>
      <c r="K17" s="2">
        <v>2.7515892799890449</v>
      </c>
      <c r="L17" s="2">
        <v>2.9624534955144286</v>
      </c>
      <c r="M17" s="2">
        <v>3.8646307294071658</v>
      </c>
      <c r="N17" s="2">
        <v>5.2138398051571562</v>
      </c>
      <c r="O17" s="2">
        <v>5.4855317824640464</v>
      </c>
      <c r="P17" s="2">
        <v>5.5917215468276789</v>
      </c>
      <c r="Q17" s="2">
        <v>5.7325650396003445</v>
      </c>
      <c r="R17" s="2">
        <v>5.6324509913693035</v>
      </c>
      <c r="S17" s="2">
        <v>5.4730101069444883</v>
      </c>
      <c r="T17" s="2">
        <v>5.4709858569768128</v>
      </c>
      <c r="U17" s="2">
        <v>5.3157699282998152</v>
      </c>
      <c r="V17" s="2">
        <v>5.0075431491995257</v>
      </c>
      <c r="W17" s="2">
        <v>3.9268463922224917</v>
      </c>
      <c r="X17" s="2">
        <v>3.4639311069282943</v>
      </c>
      <c r="Y17" s="2">
        <v>3.2476673448429034</v>
      </c>
      <c r="Z17" s="2">
        <v>3.2765136565280941</v>
      </c>
      <c r="AA17" s="2">
        <v>3.2924584243446589</v>
      </c>
      <c r="AB17" s="2">
        <v>3.0267497499588041</v>
      </c>
    </row>
    <row r="18" spans="1:28" x14ac:dyDescent="0.3">
      <c r="A18">
        <v>12</v>
      </c>
      <c r="B18">
        <v>1</v>
      </c>
      <c r="C18">
        <v>0</v>
      </c>
      <c r="D18" s="2" t="s">
        <v>17</v>
      </c>
      <c r="E18" s="2">
        <v>1.2254351701578754</v>
      </c>
      <c r="F18" s="2">
        <v>2.3676003534972643</v>
      </c>
      <c r="G18" s="2">
        <v>2.5819128888696432</v>
      </c>
      <c r="H18" s="2">
        <v>2.5413102206606419</v>
      </c>
      <c r="I18" s="2">
        <v>2.5078861216647432</v>
      </c>
      <c r="J18" s="2">
        <v>2.4263282763885115</v>
      </c>
      <c r="K18" s="2">
        <v>2.5203795829004521</v>
      </c>
      <c r="L18" s="2">
        <v>3.8095405188514349</v>
      </c>
      <c r="M18" s="2">
        <v>5.2211504923295857</v>
      </c>
      <c r="N18" s="2">
        <v>6.6560911501685389</v>
      </c>
      <c r="O18" s="2">
        <v>7.4569778182885109</v>
      </c>
      <c r="P18" s="2">
        <v>7.9984744769102507</v>
      </c>
      <c r="Q18" s="2">
        <v>8.2453566301650767</v>
      </c>
      <c r="R18" s="2">
        <v>7.8078373982596307</v>
      </c>
      <c r="S18" s="2">
        <v>7.7872779336029714</v>
      </c>
      <c r="T18" s="2">
        <v>8.0012840543386794</v>
      </c>
      <c r="U18" s="2">
        <v>8.098505397544999</v>
      </c>
      <c r="V18" s="2">
        <v>7.7459317827513656</v>
      </c>
      <c r="W18" s="2">
        <v>6.5686100016032345</v>
      </c>
      <c r="X18" s="2">
        <v>5.1393429571443274</v>
      </c>
      <c r="Y18" s="2">
        <v>3.633175833165021</v>
      </c>
      <c r="Z18" s="2">
        <v>3.0307276032776551</v>
      </c>
      <c r="AA18" s="2">
        <v>2.7959767191907625</v>
      </c>
      <c r="AB18" s="2">
        <v>2.7433202561150147</v>
      </c>
    </row>
    <row r="19" spans="1:28" x14ac:dyDescent="0.3">
      <c r="A19">
        <v>13</v>
      </c>
      <c r="B19">
        <v>1</v>
      </c>
      <c r="C19">
        <v>0</v>
      </c>
      <c r="D19" s="3" t="s">
        <v>18</v>
      </c>
      <c r="E19" s="3">
        <v>2.9399111164940734</v>
      </c>
      <c r="F19" s="3">
        <v>5.7529281809185093</v>
      </c>
      <c r="G19" s="3">
        <v>6.2472200619477096</v>
      </c>
      <c r="H19" s="3">
        <v>6.2258771031928459</v>
      </c>
      <c r="I19" s="3">
        <v>6.1230222344398513</v>
      </c>
      <c r="J19" s="3">
        <v>6.0711910148684902</v>
      </c>
      <c r="K19" s="3">
        <v>6.07480110741463</v>
      </c>
      <c r="L19" s="3">
        <v>6.1597771551615681</v>
      </c>
      <c r="M19" s="3">
        <v>6.5577653455001679</v>
      </c>
      <c r="N19" s="3">
        <v>12.694934856283766</v>
      </c>
      <c r="O19" s="3">
        <v>20.251920676434008</v>
      </c>
      <c r="P19" s="3">
        <v>22.188872474786582</v>
      </c>
      <c r="Q19" s="3">
        <v>23.037123612808376</v>
      </c>
      <c r="R19" s="3">
        <v>22.073874258313861</v>
      </c>
      <c r="S19" s="3">
        <v>22.326727268709377</v>
      </c>
      <c r="T19" s="3">
        <v>23.064247872460058</v>
      </c>
      <c r="U19" s="3">
        <v>22.654569808331281</v>
      </c>
      <c r="V19" s="3">
        <v>20.211610005758597</v>
      </c>
      <c r="W19" s="3">
        <v>17.385533620132502</v>
      </c>
      <c r="X19" s="3">
        <v>8.9848690610742175</v>
      </c>
      <c r="Y19" s="3">
        <v>7.3919093328562404</v>
      </c>
      <c r="Z19" s="3">
        <v>6.6551864527713107</v>
      </c>
      <c r="AA19" s="3">
        <v>6.5501058480201655</v>
      </c>
      <c r="AB19" s="3">
        <v>6.3429526379513552</v>
      </c>
    </row>
    <row r="20" spans="1:28" x14ac:dyDescent="0.3">
      <c r="A20">
        <v>14</v>
      </c>
      <c r="B20">
        <v>1</v>
      </c>
      <c r="C20">
        <v>0</v>
      </c>
      <c r="D20" s="2" t="s">
        <v>19</v>
      </c>
      <c r="E20" s="2">
        <v>0.12648870083529734</v>
      </c>
      <c r="F20" s="2">
        <v>0.23988418043249071</v>
      </c>
      <c r="G20" s="2">
        <v>0.2594872525030425</v>
      </c>
      <c r="H20" s="2">
        <v>0.26042776238226012</v>
      </c>
      <c r="I20" s="2">
        <v>0.25570821441266756</v>
      </c>
      <c r="J20" s="2">
        <v>0.25465155842452819</v>
      </c>
      <c r="K20" s="2">
        <v>0.25791737853292046</v>
      </c>
      <c r="L20" s="2">
        <v>0.26734188058946884</v>
      </c>
      <c r="M20" s="2">
        <v>0.35492263599845947</v>
      </c>
      <c r="N20" s="2">
        <v>0.5275386829131995</v>
      </c>
      <c r="O20" s="2">
        <v>1.1780254930975418</v>
      </c>
      <c r="P20" s="2">
        <v>1.4103892045942219</v>
      </c>
      <c r="Q20" s="2">
        <v>1.4238535207342093</v>
      </c>
      <c r="R20" s="2">
        <v>1.3730903964300276</v>
      </c>
      <c r="S20" s="2">
        <v>1.3813948866445569</v>
      </c>
      <c r="T20" s="2">
        <v>1.3438895196988967</v>
      </c>
      <c r="U20" s="2">
        <v>1.3218426990919234</v>
      </c>
      <c r="V20" s="2">
        <v>1.166977463914475</v>
      </c>
      <c r="W20" s="2">
        <v>0.75803370700542161</v>
      </c>
      <c r="X20" s="2">
        <v>0.4197535418375018</v>
      </c>
      <c r="Y20" s="2">
        <v>0.31510704291958203</v>
      </c>
      <c r="Z20" s="2">
        <v>0.27427683614909987</v>
      </c>
      <c r="AA20" s="2">
        <v>0.2632521251612277</v>
      </c>
      <c r="AB20" s="2">
        <v>0.25943019945821877</v>
      </c>
    </row>
    <row r="21" spans="1:28" x14ac:dyDescent="0.3">
      <c r="A21">
        <v>15</v>
      </c>
      <c r="B21">
        <v>1</v>
      </c>
      <c r="C21">
        <v>0</v>
      </c>
      <c r="D21" s="3" t="s">
        <v>20</v>
      </c>
      <c r="E21" s="3">
        <v>1.7571072880302043</v>
      </c>
      <c r="F21" s="3">
        <v>3.5011178819845052</v>
      </c>
      <c r="G21" s="3">
        <v>3.7419351405808658</v>
      </c>
      <c r="H21" s="3">
        <v>3.7160237912145262</v>
      </c>
      <c r="I21" s="3">
        <v>3.67783783891913</v>
      </c>
      <c r="J21" s="3">
        <v>3.6666033034277437</v>
      </c>
      <c r="K21" s="3">
        <v>3.9824698903085696</v>
      </c>
      <c r="L21" s="3">
        <v>5.1994716016430518</v>
      </c>
      <c r="M21" s="3">
        <v>6.9610740714681842</v>
      </c>
      <c r="N21" s="3">
        <v>8.4579696306301031</v>
      </c>
      <c r="O21" s="3">
        <v>12.802934024409343</v>
      </c>
      <c r="P21" s="3">
        <v>9.8576179692584471</v>
      </c>
      <c r="Q21" s="3">
        <v>9.6663265153027016</v>
      </c>
      <c r="R21" s="3">
        <v>9.4128718440724803</v>
      </c>
      <c r="S21" s="3">
        <v>9.1020553409267944</v>
      </c>
      <c r="T21" s="3">
        <v>9.0067724902478474</v>
      </c>
      <c r="U21" s="3">
        <v>9.1116945236980165</v>
      </c>
      <c r="V21" s="3">
        <v>8.9489647809849231</v>
      </c>
      <c r="W21" s="3">
        <v>8.3116274078290466</v>
      </c>
      <c r="X21" s="3">
        <v>6.5892910822389936</v>
      </c>
      <c r="Y21" s="3">
        <v>5.4275655020138718</v>
      </c>
      <c r="Z21" s="3">
        <v>4.6637678117267694</v>
      </c>
      <c r="AA21" s="3">
        <v>4.1105497719507591</v>
      </c>
      <c r="AB21" s="3">
        <v>4.0384423936439662</v>
      </c>
    </row>
    <row r="22" spans="1:28" x14ac:dyDescent="0.3">
      <c r="A22">
        <v>16</v>
      </c>
      <c r="B22">
        <v>1</v>
      </c>
      <c r="C22">
        <v>0</v>
      </c>
      <c r="D22" s="2" t="s">
        <v>21</v>
      </c>
      <c r="E22" s="2">
        <v>2.9126529912655283</v>
      </c>
      <c r="F22" s="2">
        <v>6.1640536160875197</v>
      </c>
      <c r="G22" s="2">
        <v>6.6157318605609499</v>
      </c>
      <c r="H22" s="2">
        <v>6.5559021960297592</v>
      </c>
      <c r="I22" s="2">
        <v>6.3860189185157559</v>
      </c>
      <c r="J22" s="2">
        <v>6.3491613959209827</v>
      </c>
      <c r="K22" s="2">
        <v>6.4085492050836956</v>
      </c>
      <c r="L22" s="2">
        <v>6.6384730028727699</v>
      </c>
      <c r="M22" s="2">
        <v>7.6023079274192691</v>
      </c>
      <c r="N22" s="2">
        <v>9.0475318211658742</v>
      </c>
      <c r="O22" s="2">
        <v>12.744264316406978</v>
      </c>
      <c r="P22" s="2">
        <v>15.645060303854564</v>
      </c>
      <c r="Q22" s="2">
        <v>15.483677331631938</v>
      </c>
      <c r="R22" s="2">
        <v>16.098444436088442</v>
      </c>
      <c r="S22" s="2">
        <v>15.932846646720231</v>
      </c>
      <c r="T22" s="2">
        <v>15.034525618339197</v>
      </c>
      <c r="U22" s="2">
        <v>14.33726664346362</v>
      </c>
      <c r="V22" s="2">
        <v>14.462855795255074</v>
      </c>
      <c r="W22" s="2">
        <v>15.788996857932851</v>
      </c>
      <c r="X22" s="2">
        <v>16.30367296746692</v>
      </c>
      <c r="Y22" s="2">
        <v>16.295175567316036</v>
      </c>
      <c r="Z22" s="2">
        <v>15.182771162553268</v>
      </c>
      <c r="AA22" s="2">
        <v>10.306871489671332</v>
      </c>
      <c r="AB22" s="2">
        <v>7.4293427624792407</v>
      </c>
    </row>
    <row r="23" spans="1:28" x14ac:dyDescent="0.3">
      <c r="A23">
        <v>17</v>
      </c>
      <c r="B23">
        <v>1</v>
      </c>
      <c r="C23">
        <v>0</v>
      </c>
      <c r="D23" s="3" t="s">
        <v>22</v>
      </c>
      <c r="E23" s="3">
        <v>0.85646875137463208</v>
      </c>
      <c r="F23" s="3">
        <v>1.5070937457494435</v>
      </c>
      <c r="G23" s="3">
        <v>1.6239843247078802</v>
      </c>
      <c r="H23" s="3">
        <v>1.6215109022978311</v>
      </c>
      <c r="I23" s="3">
        <v>1.59945625141263</v>
      </c>
      <c r="J23" s="3">
        <v>1.5862156226299704</v>
      </c>
      <c r="K23" s="3">
        <v>1.5760406233370303</v>
      </c>
      <c r="L23" s="3">
        <v>1.4879657277994069</v>
      </c>
      <c r="M23" s="3">
        <v>1.6707343753427266</v>
      </c>
      <c r="N23" s="3">
        <v>2.6018312441185119</v>
      </c>
      <c r="O23" s="3">
        <v>3.4967687517404555</v>
      </c>
      <c r="P23" s="3">
        <v>3.447327094007504</v>
      </c>
      <c r="Q23" s="3">
        <v>3.5451572282509236</v>
      </c>
      <c r="R23" s="3">
        <v>3.3004639515869294</v>
      </c>
      <c r="S23" s="3">
        <v>3.3650376170780216</v>
      </c>
      <c r="T23" s="3">
        <v>3.5958589381278494</v>
      </c>
      <c r="U23" s="3">
        <v>3.448315626755357</v>
      </c>
      <c r="V23" s="3">
        <v>3.4487452771303788</v>
      </c>
      <c r="W23" s="3">
        <v>3.0741509478422082</v>
      </c>
      <c r="X23" s="3">
        <v>2.549820749827151</v>
      </c>
      <c r="Y23" s="3">
        <v>2.0953364457668173</v>
      </c>
      <c r="Z23" s="3">
        <v>1.77912264181383</v>
      </c>
      <c r="AA23" s="3">
        <v>1.663028390625674</v>
      </c>
      <c r="AB23" s="3">
        <v>1.6285047346861206</v>
      </c>
    </row>
    <row r="24" spans="1:28" x14ac:dyDescent="0.3">
      <c r="A24">
        <v>18</v>
      </c>
      <c r="B24">
        <v>1</v>
      </c>
      <c r="C24">
        <v>0</v>
      </c>
      <c r="D24" s="2" t="s">
        <v>23</v>
      </c>
      <c r="E24" s="2">
        <v>1.8559313116892262</v>
      </c>
      <c r="F24" s="2">
        <v>3.5649105318478846</v>
      </c>
      <c r="G24" s="2">
        <v>3.7936977636449671</v>
      </c>
      <c r="H24" s="2">
        <v>3.7594871794845344</v>
      </c>
      <c r="I24" s="2">
        <v>3.7094550198048002</v>
      </c>
      <c r="J24" s="2">
        <v>3.690178712735714</v>
      </c>
      <c r="K24" s="2">
        <v>3.6894778542464342</v>
      </c>
      <c r="L24" s="2">
        <v>3.67150032373095</v>
      </c>
      <c r="M24" s="2">
        <v>4.5367353886793333</v>
      </c>
      <c r="N24" s="2">
        <v>9.6327043414732714</v>
      </c>
      <c r="O24" s="2">
        <v>10.475785070964346</v>
      </c>
      <c r="P24" s="2">
        <v>10.348690499951964</v>
      </c>
      <c r="Q24" s="2">
        <v>10.231955054539249</v>
      </c>
      <c r="R24" s="2">
        <v>7.2495354397180858</v>
      </c>
      <c r="S24" s="2">
        <v>9.8686513408764132</v>
      </c>
      <c r="T24" s="2">
        <v>10.701311507465864</v>
      </c>
      <c r="U24" s="2">
        <v>9.9250675502114127</v>
      </c>
      <c r="V24" s="2">
        <v>9.7000846586977971</v>
      </c>
      <c r="W24" s="2">
        <v>7.4598279211307741</v>
      </c>
      <c r="X24" s="2">
        <v>5.2447526245917144</v>
      </c>
      <c r="Y24" s="2">
        <v>4.5746788985216762</v>
      </c>
      <c r="Z24" s="2">
        <v>4.1418105251008743</v>
      </c>
      <c r="AA24" s="2">
        <v>3.9304352375574014</v>
      </c>
      <c r="AB24" s="2">
        <v>3.8249466097376499</v>
      </c>
    </row>
    <row r="25" spans="1:28" x14ac:dyDescent="0.3">
      <c r="A25">
        <v>19</v>
      </c>
      <c r="B25">
        <v>1</v>
      </c>
      <c r="C25">
        <v>0</v>
      </c>
      <c r="D25" s="2" t="s">
        <v>25</v>
      </c>
      <c r="E25" s="2">
        <v>3.9849655047572892</v>
      </c>
      <c r="F25" s="2">
        <v>7.7696170092474501</v>
      </c>
      <c r="G25" s="2">
        <v>8.7822646967628426</v>
      </c>
      <c r="H25" s="2">
        <v>8.7385821137855295</v>
      </c>
      <c r="I25" s="2">
        <v>8.6729575409392137</v>
      </c>
      <c r="J25" s="2">
        <v>8.4959080557256836</v>
      </c>
      <c r="K25" s="2">
        <v>8.8291566142116693</v>
      </c>
      <c r="L25" s="2">
        <v>9.3363605364197824</v>
      </c>
      <c r="M25" s="2">
        <v>10.871234764741812</v>
      </c>
      <c r="N25" s="2">
        <v>14.951913764764523</v>
      </c>
      <c r="O25" s="2">
        <v>17.653367089822826</v>
      </c>
      <c r="P25" s="2">
        <v>17.198948200005461</v>
      </c>
      <c r="Q25" s="2">
        <v>17.1888724217199</v>
      </c>
      <c r="R25" s="2">
        <v>16.291734452069548</v>
      </c>
      <c r="S25" s="2">
        <v>16.577837403712234</v>
      </c>
      <c r="T25" s="2">
        <v>16.179147280463877</v>
      </c>
      <c r="U25" s="2">
        <v>16.515419390413072</v>
      </c>
      <c r="V25" s="2">
        <v>16.03657142955716</v>
      </c>
      <c r="W25" s="2">
        <v>14.448127000577864</v>
      </c>
      <c r="X25" s="2">
        <v>12.807333352029787</v>
      </c>
      <c r="Y25" s="2">
        <v>11.541384634604823</v>
      </c>
      <c r="Z25" s="2">
        <v>10.727064099401796</v>
      </c>
      <c r="AA25" s="2">
        <v>9.5646130152589084</v>
      </c>
      <c r="AB25" s="2">
        <v>9.2374000269633072</v>
      </c>
    </row>
    <row r="26" spans="1:28" x14ac:dyDescent="0.3">
      <c r="A26">
        <v>20</v>
      </c>
      <c r="B26">
        <v>1</v>
      </c>
      <c r="C26">
        <v>0</v>
      </c>
      <c r="D26" s="3" t="s">
        <v>26</v>
      </c>
      <c r="E26" s="3">
        <v>2.3809046340898208</v>
      </c>
      <c r="F26" s="3">
        <v>4.3627247958157307</v>
      </c>
      <c r="G26" s="3">
        <v>4.6482185884251619</v>
      </c>
      <c r="H26" s="3">
        <v>4.6309945303234246</v>
      </c>
      <c r="I26" s="3">
        <v>4.5872786898430578</v>
      </c>
      <c r="J26" s="3">
        <v>4.6249617479863714</v>
      </c>
      <c r="K26" s="3">
        <v>4.7481318731884379</v>
      </c>
      <c r="L26" s="3">
        <v>6.3333698847522477</v>
      </c>
      <c r="M26" s="3">
        <v>7.3001205561912208</v>
      </c>
      <c r="N26" s="3">
        <v>7.8449972577290978</v>
      </c>
      <c r="O26" s="3">
        <v>7.7357166164252682</v>
      </c>
      <c r="P26" s="3">
        <v>7.6863651058004727</v>
      </c>
      <c r="Q26" s="3">
        <v>7.6231208934888732</v>
      </c>
      <c r="R26" s="3">
        <v>7.5838251556855081</v>
      </c>
      <c r="S26" s="3">
        <v>7.5106191615535804</v>
      </c>
      <c r="T26" s="3">
        <v>7.4818121524146903</v>
      </c>
      <c r="U26" s="3">
        <v>7.5044821993945394</v>
      </c>
      <c r="V26" s="3">
        <v>7.3331129465549783</v>
      </c>
      <c r="W26" s="3">
        <v>6.9635506832436338</v>
      </c>
      <c r="X26" s="3">
        <v>6.3835178113963504</v>
      </c>
      <c r="Y26" s="3">
        <v>5.3580869572318122</v>
      </c>
      <c r="Z26" s="3">
        <v>5.0349011015106031</v>
      </c>
      <c r="AA26" s="3">
        <v>4.9250109888367604</v>
      </c>
      <c r="AB26" s="3">
        <v>4.7932307674334602</v>
      </c>
    </row>
    <row r="27" spans="1:28" x14ac:dyDescent="0.3">
      <c r="A27">
        <v>21</v>
      </c>
      <c r="B27">
        <v>1</v>
      </c>
      <c r="C27">
        <v>0</v>
      </c>
      <c r="D27" s="2" t="s">
        <v>27</v>
      </c>
      <c r="E27" s="2">
        <v>1.7471007959048241</v>
      </c>
      <c r="F27" s="2">
        <v>3.497703453488902</v>
      </c>
      <c r="G27" s="2">
        <v>3.7517409787593516</v>
      </c>
      <c r="H27" s="2">
        <v>3.7144404288134791</v>
      </c>
      <c r="I27" s="2">
        <v>3.6141809619294953</v>
      </c>
      <c r="J27" s="2">
        <v>3.6301405617310833</v>
      </c>
      <c r="K27" s="2">
        <v>3.637013320679952</v>
      </c>
      <c r="L27" s="2">
        <v>4.0058575196891715</v>
      </c>
      <c r="M27" s="2">
        <v>4.6964104289603279</v>
      </c>
      <c r="N27" s="2">
        <v>5.0424069729440379</v>
      </c>
      <c r="O27" s="2">
        <v>5.0280491281636266</v>
      </c>
      <c r="P27" s="2">
        <v>5.1534566071320596</v>
      </c>
      <c r="Q27" s="2">
        <v>5.1077104788355516</v>
      </c>
      <c r="R27" s="2">
        <v>5.1657636228099761</v>
      </c>
      <c r="S27" s="2">
        <v>5.1734211900915996</v>
      </c>
      <c r="T27" s="2">
        <v>5.1556750381749268</v>
      </c>
      <c r="U27" s="2">
        <v>5.1909920812441133</v>
      </c>
      <c r="V27" s="2">
        <v>5.0713786714316038</v>
      </c>
      <c r="W27" s="2">
        <v>4.7370200453459645</v>
      </c>
      <c r="X27" s="2">
        <v>4.0888950865855502</v>
      </c>
      <c r="Y27" s="2">
        <v>3.813125328920937</v>
      </c>
      <c r="Z27" s="2">
        <v>3.7101254963725729</v>
      </c>
      <c r="AA27" s="2">
        <v>3.6920119600755688</v>
      </c>
      <c r="AB27" s="2">
        <v>3.733495338480596</v>
      </c>
    </row>
    <row r="28" spans="1:28" x14ac:dyDescent="0.3">
      <c r="A28">
        <v>22</v>
      </c>
      <c r="B28">
        <v>1</v>
      </c>
      <c r="C28">
        <v>0</v>
      </c>
      <c r="D28" s="3" t="s">
        <v>28</v>
      </c>
      <c r="E28" s="3">
        <v>3.3753916434181033</v>
      </c>
      <c r="F28" s="3">
        <v>6.7958563860517334</v>
      </c>
      <c r="G28" s="3">
        <v>7.333747843950075</v>
      </c>
      <c r="H28" s="3">
        <v>7.2616817908457971</v>
      </c>
      <c r="I28" s="3">
        <v>7.1713174644583146</v>
      </c>
      <c r="J28" s="3">
        <v>7.0541871069362072</v>
      </c>
      <c r="K28" s="3">
        <v>6.9989011988466778</v>
      </c>
      <c r="L28" s="3">
        <v>8.5541087582610764</v>
      </c>
      <c r="M28" s="3">
        <v>11.380042260367665</v>
      </c>
      <c r="N28" s="3">
        <v>12.616903651839497</v>
      </c>
      <c r="O28" s="3">
        <v>13.815953195590195</v>
      </c>
      <c r="P28" s="3">
        <v>14.61979985986523</v>
      </c>
      <c r="Q28" s="3">
        <v>15.080473025776334</v>
      </c>
      <c r="R28" s="3">
        <v>14.839388463102162</v>
      </c>
      <c r="S28" s="3">
        <v>15.014181697224736</v>
      </c>
      <c r="T28" s="3">
        <v>15.245834855711728</v>
      </c>
      <c r="U28" s="3">
        <v>15.098008190784354</v>
      </c>
      <c r="V28" s="3">
        <v>14.43063859986918</v>
      </c>
      <c r="W28" s="3">
        <v>13.511379166525199</v>
      </c>
      <c r="X28" s="3">
        <v>10.601197722243155</v>
      </c>
      <c r="Y28" s="3">
        <v>8.1855534935268697</v>
      </c>
      <c r="Z28" s="3">
        <v>7.5144222522398989</v>
      </c>
      <c r="AA28" s="3">
        <v>7.4700327283750987</v>
      </c>
      <c r="AB28" s="3">
        <v>7.5573306576846013</v>
      </c>
    </row>
    <row r="29" spans="1:28" x14ac:dyDescent="0.3">
      <c r="A29">
        <v>23</v>
      </c>
      <c r="B29">
        <v>0</v>
      </c>
      <c r="C29">
        <v>1</v>
      </c>
      <c r="D29" s="2" t="s">
        <v>29</v>
      </c>
      <c r="E29" s="2">
        <v>8.6682895605612291</v>
      </c>
      <c r="F29" s="2">
        <v>14.210284495353699</v>
      </c>
      <c r="G29" s="2">
        <v>18.672448057616872</v>
      </c>
      <c r="H29" s="2">
        <v>15.434920831924872</v>
      </c>
      <c r="I29" s="2">
        <v>28.40219431562522</v>
      </c>
      <c r="J29" s="2">
        <v>24.753789225596428</v>
      </c>
      <c r="K29" s="2">
        <v>15.496478183939402</v>
      </c>
      <c r="L29" s="2">
        <v>43.344927074813519</v>
      </c>
      <c r="M29" s="2">
        <v>19.217340348477951</v>
      </c>
      <c r="N29" s="2">
        <v>20.277706819054966</v>
      </c>
      <c r="O29" s="2">
        <v>26.639847360344397</v>
      </c>
      <c r="P29" s="2">
        <v>21.32416028345088</v>
      </c>
      <c r="Q29" s="2">
        <v>21.532423062966419</v>
      </c>
      <c r="R29" s="2">
        <v>32.142406043572102</v>
      </c>
      <c r="S29" s="2">
        <v>21.682663739662136</v>
      </c>
      <c r="T29" s="2">
        <v>37.107636331678279</v>
      </c>
      <c r="U29" s="2">
        <v>21.066447724033317</v>
      </c>
      <c r="V29" s="2">
        <v>21.029045096909005</v>
      </c>
      <c r="W29" s="2">
        <v>37.492769298540956</v>
      </c>
      <c r="X29" s="2">
        <v>17.235309034172033</v>
      </c>
      <c r="Y29" s="2">
        <v>30.832898238248998</v>
      </c>
      <c r="Z29" s="2">
        <v>15.920086088624696</v>
      </c>
      <c r="AA29" s="2">
        <v>15.727441696733131</v>
      </c>
      <c r="AB29" s="2">
        <v>15.889596504543139</v>
      </c>
    </row>
    <row r="30" spans="1:28" x14ac:dyDescent="0.3">
      <c r="A30">
        <v>24</v>
      </c>
      <c r="B30">
        <v>0</v>
      </c>
      <c r="C30">
        <v>1</v>
      </c>
      <c r="D30" s="3" t="s">
        <v>30</v>
      </c>
      <c r="E30" s="3">
        <v>5.4227070989030777</v>
      </c>
      <c r="F30" s="3">
        <v>8.5721211866898965</v>
      </c>
      <c r="G30" s="3">
        <v>9.0718383500070274</v>
      </c>
      <c r="H30" s="3">
        <v>8.9451313163294941</v>
      </c>
      <c r="I30" s="3">
        <v>8.6183030388571993</v>
      </c>
      <c r="J30" s="3">
        <v>8.7438788028678509</v>
      </c>
      <c r="K30" s="3">
        <v>8.7572121427516745</v>
      </c>
      <c r="L30" s="3">
        <v>8.5303030351195677</v>
      </c>
      <c r="M30" s="3">
        <v>9.3931313331681086</v>
      </c>
      <c r="N30" s="3">
        <v>16.132484859890408</v>
      </c>
      <c r="O30" s="3">
        <v>20.196646468807955</v>
      </c>
      <c r="P30" s="3">
        <v>19.27653060154039</v>
      </c>
      <c r="Q30" s="3">
        <v>18.8491836664628</v>
      </c>
      <c r="R30" s="3">
        <v>17.535798010199962</v>
      </c>
      <c r="S30" s="3">
        <v>17.615876291216033</v>
      </c>
      <c r="T30" s="3">
        <v>19.197278357043707</v>
      </c>
      <c r="U30" s="3">
        <v>17.656326581020743</v>
      </c>
      <c r="V30" s="3">
        <v>16.80255667696294</v>
      </c>
      <c r="W30" s="3">
        <v>14.657795876872784</v>
      </c>
      <c r="X30" s="3">
        <v>12.595102018239544</v>
      </c>
      <c r="Y30" s="3">
        <v>11.278244850586871</v>
      </c>
      <c r="Z30" s="3">
        <v>10.198857103075301</v>
      </c>
      <c r="AA30" s="3">
        <v>9.4522448899794629</v>
      </c>
      <c r="AB30" s="3">
        <v>9.175632681165423</v>
      </c>
    </row>
    <row r="31" spans="1:28" x14ac:dyDescent="0.3">
      <c r="A31">
        <v>25</v>
      </c>
      <c r="B31">
        <v>1</v>
      </c>
      <c r="C31">
        <v>0</v>
      </c>
      <c r="D31" s="2" t="s">
        <v>31</v>
      </c>
      <c r="E31" s="2">
        <v>0.43305498719534802</v>
      </c>
      <c r="F31" s="2">
        <v>1.1371550595348039</v>
      </c>
      <c r="G31" s="2">
        <v>1.1905177196821393</v>
      </c>
      <c r="H31" s="2">
        <v>1.1853601461306031</v>
      </c>
      <c r="I31" s="2">
        <v>1.1703464391428544</v>
      </c>
      <c r="J31" s="2">
        <v>1.1284028025918476</v>
      </c>
      <c r="K31" s="2">
        <v>1.1195827043244153</v>
      </c>
      <c r="L31" s="2">
        <v>1.0947595498800617</v>
      </c>
      <c r="M31" s="2">
        <v>1.1550233614413399</v>
      </c>
      <c r="N31" s="2">
        <v>1.3497064908982195</v>
      </c>
      <c r="O31" s="2">
        <v>1.6320355446500419</v>
      </c>
      <c r="P31" s="2">
        <v>1.7242390264493495</v>
      </c>
      <c r="Q31" s="2">
        <v>1.7230241605319554</v>
      </c>
      <c r="R31" s="2">
        <v>1.6254580995116514</v>
      </c>
      <c r="S31" s="2">
        <v>1.5722855827048103</v>
      </c>
      <c r="T31" s="2">
        <v>1.6078453703705842</v>
      </c>
      <c r="U31" s="2">
        <v>1.578747686420334</v>
      </c>
      <c r="V31" s="2">
        <v>1.4665845687835233</v>
      </c>
      <c r="W31" s="2">
        <v>1.2921597030097682</v>
      </c>
      <c r="X31" s="2">
        <v>1.1456542730835166</v>
      </c>
      <c r="Y31" s="2">
        <v>1.0517320893128772</v>
      </c>
      <c r="Z31" s="2">
        <v>1.0393680282878184</v>
      </c>
      <c r="AA31" s="2">
        <v>1.0712276100697529</v>
      </c>
      <c r="AB31" s="2">
        <v>1.1623771078890062</v>
      </c>
    </row>
    <row r="34" spans="1:30" x14ac:dyDescent="0.3">
      <c r="B34" s="9" t="s">
        <v>73</v>
      </c>
      <c r="D34" t="s">
        <v>65</v>
      </c>
      <c r="E34">
        <f>SUMPRODUCT($B$6:$B$31,E6:E31)</f>
        <v>53.933892448028857</v>
      </c>
      <c r="F34">
        <f t="shared" ref="F34:AB34" si="0">SUMPRODUCT($B$6:$B$31,F6:F31)</f>
        <v>110.8493589054479</v>
      </c>
      <c r="G34">
        <f t="shared" si="0"/>
        <v>119.29084803825452</v>
      </c>
      <c r="H34">
        <f t="shared" si="0"/>
        <v>118.52597834285538</v>
      </c>
      <c r="I34">
        <f t="shared" si="0"/>
        <v>116.52196919490351</v>
      </c>
      <c r="J34">
        <f t="shared" si="0"/>
        <v>115.21837644522137</v>
      </c>
      <c r="K34">
        <f t="shared" si="0"/>
        <v>116.58225725032159</v>
      </c>
      <c r="L34">
        <f t="shared" si="0"/>
        <v>124.84761652490972</v>
      </c>
      <c r="M34">
        <f t="shared" si="0"/>
        <v>143.21742924917109</v>
      </c>
      <c r="N34">
        <f t="shared" si="0"/>
        <v>185.08794043783874</v>
      </c>
      <c r="O34">
        <f t="shared" si="0"/>
        <v>223.71542690854025</v>
      </c>
      <c r="P34">
        <f t="shared" si="0"/>
        <v>233.74474504800995</v>
      </c>
      <c r="Q34">
        <f t="shared" si="0"/>
        <v>238.00864655467217</v>
      </c>
      <c r="R34">
        <f t="shared" si="0"/>
        <v>230.31126251857179</v>
      </c>
      <c r="S34">
        <f t="shared" si="0"/>
        <v>231.51493710141392</v>
      </c>
      <c r="T34">
        <f t="shared" si="0"/>
        <v>234.19138189383639</v>
      </c>
      <c r="U34">
        <f t="shared" si="0"/>
        <v>231.22500378605324</v>
      </c>
      <c r="V34">
        <f t="shared" si="0"/>
        <v>227.03650110336582</v>
      </c>
      <c r="W34">
        <f t="shared" si="0"/>
        <v>195.98279861663286</v>
      </c>
      <c r="X34">
        <f t="shared" si="0"/>
        <v>166.83985194290653</v>
      </c>
      <c r="Y34">
        <f t="shared" si="0"/>
        <v>205.15203455793772</v>
      </c>
      <c r="Z34">
        <f t="shared" si="0"/>
        <v>142.22288705997812</v>
      </c>
      <c r="AA34">
        <f t="shared" si="0"/>
        <v>131.13563949265924</v>
      </c>
      <c r="AB34">
        <f t="shared" si="0"/>
        <v>124.72894154399117</v>
      </c>
    </row>
    <row r="35" spans="1:30" x14ac:dyDescent="0.3">
      <c r="B35" s="9" t="s">
        <v>73</v>
      </c>
      <c r="D35" t="s">
        <v>66</v>
      </c>
      <c r="E35">
        <f>SUMPRODUCT($C$6:$C$31,E6:E31)</f>
        <v>14.090996659464306</v>
      </c>
      <c r="F35">
        <f t="shared" ref="F35:AB35" si="1">SUMPRODUCT($C$6:$C$31,F6:F31)</f>
        <v>22.782405682043596</v>
      </c>
      <c r="G35">
        <f t="shared" si="1"/>
        <v>27.7442864076239</v>
      </c>
      <c r="H35">
        <f t="shared" si="1"/>
        <v>24.380052148254364</v>
      </c>
      <c r="I35">
        <f t="shared" si="1"/>
        <v>37.020497354482416</v>
      </c>
      <c r="J35">
        <f t="shared" si="1"/>
        <v>33.497668028464275</v>
      </c>
      <c r="K35">
        <f t="shared" si="1"/>
        <v>24.253690326691078</v>
      </c>
      <c r="L35">
        <f t="shared" si="1"/>
        <v>51.875230109933085</v>
      </c>
      <c r="M35">
        <f t="shared" si="1"/>
        <v>28.610471681646061</v>
      </c>
      <c r="N35">
        <f t="shared" si="1"/>
        <v>36.410191678945374</v>
      </c>
      <c r="O35">
        <f t="shared" si="1"/>
        <v>46.836493829152353</v>
      </c>
      <c r="P35">
        <f t="shared" si="1"/>
        <v>40.600690884991266</v>
      </c>
      <c r="Q35">
        <f t="shared" si="1"/>
        <v>40.381606729429222</v>
      </c>
      <c r="R35">
        <f t="shared" si="1"/>
        <v>49.678204053772063</v>
      </c>
      <c r="S35">
        <f t="shared" si="1"/>
        <v>39.298540030878172</v>
      </c>
      <c r="T35">
        <f t="shared" si="1"/>
        <v>56.304914688721986</v>
      </c>
      <c r="U35">
        <f t="shared" si="1"/>
        <v>38.72277430505406</v>
      </c>
      <c r="V35">
        <f t="shared" si="1"/>
        <v>37.831601773871945</v>
      </c>
      <c r="W35">
        <f t="shared" si="1"/>
        <v>52.150565175413739</v>
      </c>
      <c r="X35">
        <f t="shared" si="1"/>
        <v>29.830411052411577</v>
      </c>
      <c r="Y35">
        <f t="shared" si="1"/>
        <v>42.111143088835867</v>
      </c>
      <c r="Z35">
        <f t="shared" si="1"/>
        <v>26.118943191699998</v>
      </c>
      <c r="AA35">
        <f t="shared" si="1"/>
        <v>25.179686586712592</v>
      </c>
      <c r="AB35">
        <f t="shared" si="1"/>
        <v>25.06522918570856</v>
      </c>
    </row>
    <row r="37" spans="1:30" x14ac:dyDescent="0.3">
      <c r="A37" s="7" t="s">
        <v>69</v>
      </c>
      <c r="AD37" s="9" t="s">
        <v>71</v>
      </c>
    </row>
    <row r="38" spans="1:30" x14ac:dyDescent="0.3">
      <c r="D38" s="9" t="s">
        <v>62</v>
      </c>
      <c r="E38">
        <f>E34-E4</f>
        <v>53.933892448028857</v>
      </c>
      <c r="F38">
        <f t="shared" ref="F38:AB38" si="2">F34-F4</f>
        <v>110.8493589054479</v>
      </c>
      <c r="G38">
        <f t="shared" si="2"/>
        <v>119.29084803825452</v>
      </c>
      <c r="H38">
        <f t="shared" si="2"/>
        <v>118.52597834285538</v>
      </c>
      <c r="I38">
        <f t="shared" si="2"/>
        <v>116.52196919490351</v>
      </c>
      <c r="J38">
        <f t="shared" si="2"/>
        <v>113.97920677237306</v>
      </c>
      <c r="K38">
        <f t="shared" si="2"/>
        <v>113.69302174995271</v>
      </c>
      <c r="L38">
        <f t="shared" si="2"/>
        <v>93.078988593562357</v>
      </c>
      <c r="M38">
        <f t="shared" si="2"/>
        <v>40.857611355801879</v>
      </c>
      <c r="N38">
        <f t="shared" si="2"/>
        <v>5.4115858001344463</v>
      </c>
      <c r="O38">
        <f t="shared" si="2"/>
        <v>-27.081615871442523</v>
      </c>
      <c r="P38">
        <f t="shared" si="2"/>
        <v>-64.727275219147629</v>
      </c>
      <c r="Q38">
        <f t="shared" si="2"/>
        <v>-64.991353445327832</v>
      </c>
      <c r="R38">
        <f t="shared" si="2"/>
        <v>-64.026524993863376</v>
      </c>
      <c r="S38">
        <f t="shared" si="2"/>
        <v>-32.02962503661837</v>
      </c>
      <c r="T38">
        <f t="shared" si="2"/>
        <v>41.683275423954768</v>
      </c>
      <c r="U38">
        <f t="shared" si="2"/>
        <v>122.76136821827956</v>
      </c>
      <c r="V38">
        <f t="shared" si="2"/>
        <v>192.77786810695156</v>
      </c>
      <c r="W38">
        <f t="shared" si="2"/>
        <v>185.22884390647224</v>
      </c>
      <c r="X38">
        <f t="shared" si="2"/>
        <v>166.83985194290653</v>
      </c>
      <c r="Y38">
        <f t="shared" si="2"/>
        <v>205.15203455793772</v>
      </c>
      <c r="Z38">
        <f t="shared" si="2"/>
        <v>142.22288705997812</v>
      </c>
      <c r="AA38">
        <f t="shared" si="2"/>
        <v>131.13563949265924</v>
      </c>
      <c r="AB38">
        <f t="shared" si="2"/>
        <v>124.72894154399117</v>
      </c>
    </row>
    <row r="39" spans="1:30" x14ac:dyDescent="0.3">
      <c r="D39" s="9" t="s">
        <v>72</v>
      </c>
      <c r="E39">
        <f>ABS(E38)</f>
        <v>53.933892448028857</v>
      </c>
      <c r="F39">
        <f t="shared" ref="F39:AB39" si="3">ABS(F38)</f>
        <v>110.8493589054479</v>
      </c>
      <c r="G39">
        <f t="shared" si="3"/>
        <v>119.29084803825452</v>
      </c>
      <c r="H39">
        <f t="shared" si="3"/>
        <v>118.52597834285538</v>
      </c>
      <c r="I39">
        <f t="shared" si="3"/>
        <v>116.52196919490351</v>
      </c>
      <c r="J39">
        <f t="shared" si="3"/>
        <v>113.97920677237306</v>
      </c>
      <c r="K39">
        <f t="shared" si="3"/>
        <v>113.69302174995271</v>
      </c>
      <c r="L39">
        <f t="shared" si="3"/>
        <v>93.078988593562357</v>
      </c>
      <c r="M39">
        <f t="shared" si="3"/>
        <v>40.857611355801879</v>
      </c>
      <c r="N39">
        <f t="shared" si="3"/>
        <v>5.4115858001344463</v>
      </c>
      <c r="O39">
        <f t="shared" si="3"/>
        <v>27.081615871442523</v>
      </c>
      <c r="P39">
        <f t="shared" si="3"/>
        <v>64.727275219147629</v>
      </c>
      <c r="Q39">
        <f t="shared" si="3"/>
        <v>64.991353445327832</v>
      </c>
      <c r="R39">
        <f t="shared" si="3"/>
        <v>64.026524993863376</v>
      </c>
      <c r="S39">
        <f t="shared" si="3"/>
        <v>32.02962503661837</v>
      </c>
      <c r="T39">
        <f t="shared" si="3"/>
        <v>41.683275423954768</v>
      </c>
      <c r="U39">
        <f t="shared" si="3"/>
        <v>122.76136821827956</v>
      </c>
      <c r="V39">
        <f t="shared" si="3"/>
        <v>192.77786810695156</v>
      </c>
      <c r="W39">
        <f t="shared" si="3"/>
        <v>185.22884390647224</v>
      </c>
      <c r="X39">
        <f t="shared" si="3"/>
        <v>166.83985194290653</v>
      </c>
      <c r="Y39">
        <f t="shared" si="3"/>
        <v>205.15203455793772</v>
      </c>
      <c r="Z39">
        <f t="shared" si="3"/>
        <v>142.22288705997812</v>
      </c>
      <c r="AA39">
        <f t="shared" si="3"/>
        <v>131.13563949265924</v>
      </c>
      <c r="AB39">
        <f t="shared" si="3"/>
        <v>124.72894154399117</v>
      </c>
      <c r="AC39" s="10">
        <f>SUM(E39:AB39)</f>
        <v>2451.5295660208458</v>
      </c>
    </row>
    <row r="41" spans="1:30" x14ac:dyDescent="0.3">
      <c r="AD41" s="13">
        <f>SUM(AC39,AC43)</f>
        <v>3251.3952547469089</v>
      </c>
    </row>
    <row r="42" spans="1:30" x14ac:dyDescent="0.3">
      <c r="D42" s="9" t="s">
        <v>62</v>
      </c>
      <c r="E42">
        <f>E35-E5</f>
        <v>14.090996659464306</v>
      </c>
      <c r="F42">
        <f t="shared" ref="F42:AB42" si="4">F35-F5</f>
        <v>22.782405682043596</v>
      </c>
      <c r="G42">
        <f t="shared" si="4"/>
        <v>27.7442864076239</v>
      </c>
      <c r="H42">
        <f t="shared" si="4"/>
        <v>24.380052148254364</v>
      </c>
      <c r="I42">
        <f t="shared" si="4"/>
        <v>37.020497354482416</v>
      </c>
      <c r="J42">
        <f t="shared" si="4"/>
        <v>33.496693409128646</v>
      </c>
      <c r="K42">
        <f t="shared" si="4"/>
        <v>22.604959350117827</v>
      </c>
      <c r="L42">
        <f t="shared" si="4"/>
        <v>38.985077813248225</v>
      </c>
      <c r="M42">
        <f t="shared" si="4"/>
        <v>-14.376956279425762</v>
      </c>
      <c r="N42">
        <f t="shared" si="4"/>
        <v>-29.823327365044939</v>
      </c>
      <c r="O42">
        <f t="shared" si="4"/>
        <v>-42.92196676569332</v>
      </c>
      <c r="P42">
        <f t="shared" si="4"/>
        <v>-65.807977370814626</v>
      </c>
      <c r="Q42">
        <f t="shared" si="4"/>
        <v>-70.097785782807676</v>
      </c>
      <c r="R42">
        <f t="shared" si="4"/>
        <v>-56.459720000530609</v>
      </c>
      <c r="S42">
        <f t="shared" si="4"/>
        <v>-56.28975359817656</v>
      </c>
      <c r="T42">
        <f t="shared" si="4"/>
        <v>-17.928928284934294</v>
      </c>
      <c r="U42">
        <f t="shared" si="4"/>
        <v>-7.771524464611602</v>
      </c>
      <c r="V42">
        <f t="shared" si="4"/>
        <v>19.727378947985621</v>
      </c>
      <c r="W42">
        <f t="shared" si="4"/>
        <v>49.249987936306262</v>
      </c>
      <c r="X42">
        <f t="shared" si="4"/>
        <v>29.830411052411577</v>
      </c>
      <c r="Y42">
        <f t="shared" si="4"/>
        <v>42.111143088835867</v>
      </c>
      <c r="Z42">
        <f t="shared" si="4"/>
        <v>26.118943191699998</v>
      </c>
      <c r="AA42">
        <f t="shared" si="4"/>
        <v>25.179686586712592</v>
      </c>
      <c r="AB42">
        <f t="shared" si="4"/>
        <v>25.06522918570856</v>
      </c>
    </row>
    <row r="43" spans="1:30" x14ac:dyDescent="0.3">
      <c r="D43" s="9" t="s">
        <v>72</v>
      </c>
      <c r="E43">
        <f>ABS(E42)</f>
        <v>14.090996659464306</v>
      </c>
      <c r="F43">
        <f t="shared" ref="F43:AB43" si="5">ABS(F42)</f>
        <v>22.782405682043596</v>
      </c>
      <c r="G43">
        <f t="shared" si="5"/>
        <v>27.7442864076239</v>
      </c>
      <c r="H43">
        <f t="shared" si="5"/>
        <v>24.380052148254364</v>
      </c>
      <c r="I43">
        <f t="shared" si="5"/>
        <v>37.020497354482416</v>
      </c>
      <c r="J43">
        <f t="shared" si="5"/>
        <v>33.496693409128646</v>
      </c>
      <c r="K43">
        <f t="shared" si="5"/>
        <v>22.604959350117827</v>
      </c>
      <c r="L43">
        <f t="shared" si="5"/>
        <v>38.985077813248225</v>
      </c>
      <c r="M43">
        <f t="shared" si="5"/>
        <v>14.376956279425762</v>
      </c>
      <c r="N43">
        <f t="shared" si="5"/>
        <v>29.823327365044939</v>
      </c>
      <c r="O43">
        <f t="shared" si="5"/>
        <v>42.92196676569332</v>
      </c>
      <c r="P43">
        <f t="shared" si="5"/>
        <v>65.807977370814626</v>
      </c>
      <c r="Q43">
        <f t="shared" si="5"/>
        <v>70.097785782807676</v>
      </c>
      <c r="R43">
        <f t="shared" si="5"/>
        <v>56.459720000530609</v>
      </c>
      <c r="S43">
        <f t="shared" si="5"/>
        <v>56.28975359817656</v>
      </c>
      <c r="T43">
        <f t="shared" si="5"/>
        <v>17.928928284934294</v>
      </c>
      <c r="U43">
        <f t="shared" si="5"/>
        <v>7.771524464611602</v>
      </c>
      <c r="V43">
        <f t="shared" si="5"/>
        <v>19.727378947985621</v>
      </c>
      <c r="W43">
        <f t="shared" si="5"/>
        <v>49.249987936306262</v>
      </c>
      <c r="X43">
        <f t="shared" si="5"/>
        <v>29.830411052411577</v>
      </c>
      <c r="Y43">
        <f t="shared" si="5"/>
        <v>42.111143088835867</v>
      </c>
      <c r="Z43">
        <f t="shared" si="5"/>
        <v>26.118943191699998</v>
      </c>
      <c r="AA43">
        <f t="shared" si="5"/>
        <v>25.179686586712592</v>
      </c>
      <c r="AB43">
        <f t="shared" si="5"/>
        <v>25.06522918570856</v>
      </c>
      <c r="AC43" s="10">
        <f>SUM(E43:AB43)</f>
        <v>799.86568872606313</v>
      </c>
    </row>
  </sheetData>
  <conditionalFormatting sqref="E4:I3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{35589DEA-7F2E-49E7-AC10-E9FC8F3CF178}</x14:id>
        </ext>
      </extLst>
    </cfRule>
  </conditionalFormatting>
  <conditionalFormatting sqref="X4:AB3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{B255D125-58A6-403B-A24A-01012853EF7D}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5589DEA-7F2E-49E7-AC10-E9FC8F3CF1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E4:I31</xm:sqref>
        </x14:conditionalFormatting>
        <x14:conditionalFormatting xmlns:xm="http://schemas.microsoft.com/office/excel/2006/main">
          <x14:cfRule type="dataBar" id="{B255D125-58A6-403B-A24A-01012853EF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X4:AB31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8C5A-7CF2-40A2-91B7-9FF7DC9CF3D4}">
  <dimension ref="A3:L31"/>
  <sheetViews>
    <sheetView workbookViewId="0">
      <selection activeCell="L6" sqref="L6"/>
    </sheetView>
  </sheetViews>
  <sheetFormatPr defaultRowHeight="14.4" x14ac:dyDescent="0.3"/>
  <cols>
    <col min="2" max="2" width="27.21875" bestFit="1" customWidth="1"/>
  </cols>
  <sheetData>
    <row r="3" spans="1:12" x14ac:dyDescent="0.3">
      <c r="A3" t="s">
        <v>33</v>
      </c>
      <c r="B3" s="1" t="s">
        <v>0</v>
      </c>
      <c r="C3" s="5" t="s">
        <v>42</v>
      </c>
      <c r="D3" s="5" t="s">
        <v>43</v>
      </c>
      <c r="E3" s="5" t="s">
        <v>44</v>
      </c>
      <c r="F3" s="5" t="s">
        <v>45</v>
      </c>
      <c r="G3" s="5" t="s">
        <v>46</v>
      </c>
      <c r="H3" s="5" t="s">
        <v>47</v>
      </c>
      <c r="I3" s="5" t="s">
        <v>48</v>
      </c>
      <c r="J3" s="5" t="s">
        <v>49</v>
      </c>
      <c r="K3" s="5" t="s">
        <v>50</v>
      </c>
      <c r="L3" s="6" t="s">
        <v>32</v>
      </c>
    </row>
    <row r="4" spans="1:12" x14ac:dyDescent="0.3">
      <c r="B4" s="2" t="s">
        <v>1</v>
      </c>
      <c r="C4" s="2">
        <v>102.35981789336921</v>
      </c>
      <c r="D4" s="2">
        <v>179.67635463770429</v>
      </c>
      <c r="E4" s="2">
        <v>250.79704277998277</v>
      </c>
      <c r="F4" s="2">
        <v>298.47202026715757</v>
      </c>
      <c r="G4" s="4">
        <v>303</v>
      </c>
      <c r="H4" s="2">
        <v>294.33778751243517</v>
      </c>
      <c r="I4" s="2">
        <v>263.54456213803229</v>
      </c>
      <c r="J4" s="2">
        <v>192.50810646988162</v>
      </c>
      <c r="K4" s="2">
        <v>108.46363556777368</v>
      </c>
      <c r="L4" s="8">
        <f>SUM(C4:K4)</f>
        <v>1993.1593272663365</v>
      </c>
    </row>
    <row r="5" spans="1:12" x14ac:dyDescent="0.3">
      <c r="B5" s="3" t="s">
        <v>2</v>
      </c>
      <c r="C5" s="3">
        <v>42.987427961071823</v>
      </c>
      <c r="D5" s="3">
        <v>66.233519043990313</v>
      </c>
      <c r="E5" s="3">
        <v>89.758460594845673</v>
      </c>
      <c r="F5" s="3">
        <v>106.40866825580589</v>
      </c>
      <c r="G5" s="3">
        <v>110.4793925122369</v>
      </c>
      <c r="H5" s="3">
        <v>106.13792405430267</v>
      </c>
      <c r="I5" s="3">
        <v>95.588293629054732</v>
      </c>
      <c r="J5" s="3">
        <v>74.23384297365628</v>
      </c>
      <c r="K5" s="3">
        <v>46.494298769665662</v>
      </c>
      <c r="L5" s="8">
        <f t="shared" ref="L5:L31" si="0">SUM(C5:K5)</f>
        <v>738.32182779462983</v>
      </c>
    </row>
    <row r="6" spans="1:12" x14ac:dyDescent="0.3">
      <c r="A6">
        <v>0</v>
      </c>
      <c r="B6" s="2" t="s">
        <v>3</v>
      </c>
      <c r="C6" s="2">
        <v>13.54130741873303</v>
      </c>
      <c r="D6" s="2">
        <v>14.725333340641626</v>
      </c>
      <c r="E6" s="2">
        <v>16.661762574045952</v>
      </c>
      <c r="F6" s="2">
        <v>18.245030231923867</v>
      </c>
      <c r="G6" s="2">
        <v>19.830627567816101</v>
      </c>
      <c r="H6" s="2">
        <v>20.578770039876304</v>
      </c>
      <c r="I6" s="2">
        <v>20.769833329518637</v>
      </c>
      <c r="J6" s="2">
        <v>20.862662218087493</v>
      </c>
      <c r="K6" s="2">
        <v>21.328316650390626</v>
      </c>
      <c r="L6" s="8">
        <f t="shared" si="0"/>
        <v>166.54364337103365</v>
      </c>
    </row>
    <row r="7" spans="1:12" x14ac:dyDescent="0.3">
      <c r="A7">
        <v>1</v>
      </c>
      <c r="B7" s="3" t="s">
        <v>4</v>
      </c>
      <c r="C7" s="3">
        <v>1.2187879114891543E-2</v>
      </c>
      <c r="D7" s="3">
        <v>1.1915151741016995E-2</v>
      </c>
      <c r="E7" s="3">
        <v>1.7148809693199357E-2</v>
      </c>
      <c r="F7" s="3">
        <v>2.3048780733583168E-2</v>
      </c>
      <c r="G7" s="3">
        <v>2.4622754603735884E-2</v>
      </c>
      <c r="H7" s="3">
        <v>2.0760479114787976E-2</v>
      </c>
      <c r="I7" s="3">
        <v>2.2664670823392876E-2</v>
      </c>
      <c r="J7" s="3">
        <v>2.4714286184115784E-2</v>
      </c>
      <c r="K7" s="3">
        <v>2.2458333540790982E-2</v>
      </c>
      <c r="L7" s="8">
        <f t="shared" si="0"/>
        <v>0.17952114554951459</v>
      </c>
    </row>
    <row r="8" spans="1:12" x14ac:dyDescent="0.3">
      <c r="A8">
        <v>2</v>
      </c>
      <c r="B8" s="2" t="s">
        <v>5</v>
      </c>
      <c r="C8" s="2">
        <v>0.62447500340640549</v>
      </c>
      <c r="D8" s="2">
        <v>0.56418420913580203</v>
      </c>
      <c r="E8" s="2">
        <v>0.85682499343529384</v>
      </c>
      <c r="F8" s="2">
        <v>1.0950285630566734</v>
      </c>
      <c r="G8" s="2">
        <v>1.1365000030232799</v>
      </c>
      <c r="H8" s="2">
        <v>1.0851463362938016</v>
      </c>
      <c r="I8" s="2">
        <v>1.0306410250755467</v>
      </c>
      <c r="J8" s="2">
        <v>1.0047631687239595</v>
      </c>
      <c r="K8" s="2">
        <v>1.1883513488479562</v>
      </c>
      <c r="L8" s="8">
        <f t="shared" si="0"/>
        <v>8.5859146509987188</v>
      </c>
    </row>
    <row r="9" spans="1:12" x14ac:dyDescent="0.3">
      <c r="A9">
        <v>3</v>
      </c>
      <c r="B9" s="3" t="s">
        <v>6</v>
      </c>
      <c r="C9" s="3">
        <v>8.9196310841204784</v>
      </c>
      <c r="D9" s="3">
        <v>13.352357906887406</v>
      </c>
      <c r="E9" s="3">
        <v>18.351643045743305</v>
      </c>
      <c r="F9" s="3">
        <v>19.754222234799748</v>
      </c>
      <c r="G9" s="3">
        <v>19.797361582241312</v>
      </c>
      <c r="H9" s="3">
        <v>17.873578931155958</v>
      </c>
      <c r="I9" s="3">
        <v>17.798010594314999</v>
      </c>
      <c r="J9" s="3">
        <v>18.854960179060143</v>
      </c>
      <c r="K9" s="3">
        <v>18.50070713558738</v>
      </c>
      <c r="L9" s="8">
        <f t="shared" si="0"/>
        <v>153.20247269391075</v>
      </c>
    </row>
    <row r="10" spans="1:12" x14ac:dyDescent="0.3">
      <c r="A10">
        <v>4</v>
      </c>
      <c r="B10" s="2" t="s">
        <v>7</v>
      </c>
      <c r="C10" s="2">
        <v>6.2818794527939259</v>
      </c>
      <c r="D10" s="2">
        <v>10.189866627289705</v>
      </c>
      <c r="E10" s="2">
        <v>14.534941890007309</v>
      </c>
      <c r="F10" s="2">
        <v>15.407063375735223</v>
      </c>
      <c r="G10" s="2">
        <v>15.380825205366254</v>
      </c>
      <c r="H10" s="2">
        <v>14.735653209010987</v>
      </c>
      <c r="I10" s="2">
        <v>14.247459545890674</v>
      </c>
      <c r="J10" s="2">
        <v>14.351304440655642</v>
      </c>
      <c r="K10" s="2">
        <v>13.608772966943194</v>
      </c>
      <c r="L10" s="8">
        <f t="shared" si="0"/>
        <v>118.73776671369291</v>
      </c>
    </row>
    <row r="11" spans="1:12" x14ac:dyDescent="0.3">
      <c r="A11">
        <v>5</v>
      </c>
      <c r="B11" s="3" t="s">
        <v>8</v>
      </c>
      <c r="C11" s="3">
        <v>8.3735185508504735</v>
      </c>
      <c r="D11" s="3">
        <v>8.9086002395415651</v>
      </c>
      <c r="E11" s="3">
        <v>9.4691865883598272</v>
      </c>
      <c r="F11" s="3">
        <v>9.9920000102617834</v>
      </c>
      <c r="G11" s="3">
        <v>10.215561989797941</v>
      </c>
      <c r="H11" s="3">
        <v>10.326859216236036</v>
      </c>
      <c r="I11" s="3">
        <v>10.229506615365526</v>
      </c>
      <c r="J11" s="3">
        <v>10.270701922431519</v>
      </c>
      <c r="K11" s="3">
        <v>9.9235336608387748</v>
      </c>
      <c r="L11" s="8">
        <f t="shared" si="0"/>
        <v>87.709468793683442</v>
      </c>
    </row>
    <row r="12" spans="1:12" x14ac:dyDescent="0.3">
      <c r="A12">
        <v>6</v>
      </c>
      <c r="B12" s="3" t="s">
        <v>10</v>
      </c>
      <c r="C12" s="3">
        <v>2.0031884853208854</v>
      </c>
      <c r="D12" s="3">
        <v>2.1595295771728318</v>
      </c>
      <c r="E12" s="3">
        <v>2.75807582117362</v>
      </c>
      <c r="F12" s="3">
        <v>3.0125443961232725</v>
      </c>
      <c r="G12" s="3">
        <v>3.0592510941564139</v>
      </c>
      <c r="H12" s="3">
        <v>3.0966709958505985</v>
      </c>
      <c r="I12" s="3">
        <v>3.0789942569581079</v>
      </c>
      <c r="J12" s="3">
        <v>2.9830815442569638</v>
      </c>
      <c r="K12" s="3">
        <v>3.0299799397933351</v>
      </c>
      <c r="L12" s="8">
        <f t="shared" si="0"/>
        <v>25.18131611080603</v>
      </c>
    </row>
    <row r="13" spans="1:12" x14ac:dyDescent="0.3">
      <c r="A13">
        <v>7</v>
      </c>
      <c r="B13" s="2" t="s">
        <v>11</v>
      </c>
      <c r="C13" s="2">
        <v>3.2305145897267669</v>
      </c>
      <c r="D13" s="2">
        <v>3.6089561781085346</v>
      </c>
      <c r="E13" s="2">
        <v>4.141857136612531</v>
      </c>
      <c r="F13" s="2">
        <v>4.492495337235785</v>
      </c>
      <c r="G13" s="2">
        <v>4.6679784958000461</v>
      </c>
      <c r="H13" s="2">
        <v>4.7381119926373163</v>
      </c>
      <c r="I13" s="2">
        <v>4.5975172358419281</v>
      </c>
      <c r="J13" s="2">
        <v>4.576355913008352</v>
      </c>
      <c r="K13" s="2">
        <v>4.5482228121643677</v>
      </c>
      <c r="L13" s="8">
        <f t="shared" si="0"/>
        <v>38.602009691135628</v>
      </c>
    </row>
    <row r="14" spans="1:12" x14ac:dyDescent="0.3">
      <c r="A14">
        <v>8</v>
      </c>
      <c r="B14" s="3" t="s">
        <v>12</v>
      </c>
      <c r="C14" s="3">
        <v>13.455486023226264</v>
      </c>
      <c r="D14" s="3">
        <v>14.718326368757538</v>
      </c>
      <c r="E14" s="3">
        <v>15.283754878347965</v>
      </c>
      <c r="F14" s="3">
        <v>16.347775882950017</v>
      </c>
      <c r="G14" s="3">
        <v>17.182881122202307</v>
      </c>
      <c r="H14" s="3">
        <v>17.509068549012806</v>
      </c>
      <c r="I14" s="3">
        <v>17.174208386934978</v>
      </c>
      <c r="J14" s="3">
        <v>16.974361598070733</v>
      </c>
      <c r="K14" s="3">
        <v>16.786298461289586</v>
      </c>
      <c r="L14" s="8">
        <f t="shared" si="0"/>
        <v>145.43216127079219</v>
      </c>
    </row>
    <row r="15" spans="1:12" x14ac:dyDescent="0.3">
      <c r="A15">
        <v>9</v>
      </c>
      <c r="B15" s="2" t="s">
        <v>13</v>
      </c>
      <c r="C15" s="2">
        <v>8.4180916927787397</v>
      </c>
      <c r="D15" s="2">
        <v>11.789759790012409</v>
      </c>
      <c r="E15" s="2">
        <v>12.762279464688364</v>
      </c>
      <c r="F15" s="2">
        <v>12.847899567091829</v>
      </c>
      <c r="G15" s="2">
        <v>13.116720532746294</v>
      </c>
      <c r="H15" s="2">
        <v>12.343649115478783</v>
      </c>
      <c r="I15" s="2">
        <v>12.238800873798606</v>
      </c>
      <c r="J15" s="2">
        <v>12.755031094021268</v>
      </c>
      <c r="K15" s="2">
        <v>12.686734511788968</v>
      </c>
      <c r="L15" s="8">
        <f t="shared" si="0"/>
        <v>108.95896664240526</v>
      </c>
    </row>
    <row r="16" spans="1:12" x14ac:dyDescent="0.3">
      <c r="A16">
        <v>10</v>
      </c>
      <c r="B16" s="3" t="s">
        <v>14</v>
      </c>
      <c r="C16" s="3">
        <v>6.1971846103668211</v>
      </c>
      <c r="D16" s="3">
        <v>8.4326565302055307</v>
      </c>
      <c r="E16" s="3">
        <v>9.1377710076688814</v>
      </c>
      <c r="F16" s="3">
        <v>9.6797230793879567</v>
      </c>
      <c r="G16" s="3">
        <v>9.5317230481367847</v>
      </c>
      <c r="H16" s="3">
        <v>9.5690156240016222</v>
      </c>
      <c r="I16" s="3">
        <v>9.2646190609250745</v>
      </c>
      <c r="J16" s="3">
        <v>9.6689692607292788</v>
      </c>
      <c r="K16" s="3">
        <v>9.5234045727562364</v>
      </c>
      <c r="L16" s="8">
        <f t="shared" si="0"/>
        <v>81.005066794178191</v>
      </c>
    </row>
    <row r="17" spans="1:12" x14ac:dyDescent="0.3">
      <c r="A17">
        <v>11</v>
      </c>
      <c r="B17" s="2" t="s">
        <v>15</v>
      </c>
      <c r="C17" s="2">
        <v>3.8646307294071658</v>
      </c>
      <c r="D17" s="2">
        <v>5.2138398051571562</v>
      </c>
      <c r="E17" s="2">
        <v>5.4855317824640464</v>
      </c>
      <c r="F17" s="2">
        <v>5.5917215468276789</v>
      </c>
      <c r="G17" s="2">
        <v>5.7325650396003445</v>
      </c>
      <c r="H17" s="2">
        <v>5.6324509913693035</v>
      </c>
      <c r="I17" s="2">
        <v>5.4730101069444883</v>
      </c>
      <c r="J17" s="2">
        <v>5.4709858569768128</v>
      </c>
      <c r="K17" s="2">
        <v>5.3157699282998152</v>
      </c>
      <c r="L17" s="8">
        <f t="shared" si="0"/>
        <v>47.780505787046806</v>
      </c>
    </row>
    <row r="18" spans="1:12" x14ac:dyDescent="0.3">
      <c r="A18">
        <v>12</v>
      </c>
      <c r="B18" s="2" t="s">
        <v>17</v>
      </c>
      <c r="C18" s="2">
        <v>5.2211504923295857</v>
      </c>
      <c r="D18" s="2">
        <v>6.6560911501685389</v>
      </c>
      <c r="E18" s="2">
        <v>7.4569778182885109</v>
      </c>
      <c r="F18" s="2">
        <v>7.9984744769102507</v>
      </c>
      <c r="G18" s="2">
        <v>8.2453566301650767</v>
      </c>
      <c r="H18" s="2">
        <v>7.8078373982596307</v>
      </c>
      <c r="I18" s="2">
        <v>7.7872779336029714</v>
      </c>
      <c r="J18" s="2">
        <v>8.0012840543386794</v>
      </c>
      <c r="K18" s="2">
        <v>8.098505397544999</v>
      </c>
      <c r="L18" s="8">
        <f t="shared" si="0"/>
        <v>67.272955351608246</v>
      </c>
    </row>
    <row r="19" spans="1:12" x14ac:dyDescent="0.3">
      <c r="A19">
        <v>13</v>
      </c>
      <c r="B19" s="3" t="s">
        <v>18</v>
      </c>
      <c r="C19" s="3">
        <v>6.5577653455001679</v>
      </c>
      <c r="D19" s="3">
        <v>12.694934856283766</v>
      </c>
      <c r="E19" s="3">
        <v>20.251920676434008</v>
      </c>
      <c r="F19" s="3">
        <v>22.188872474786582</v>
      </c>
      <c r="G19" s="3">
        <v>23.037123612808376</v>
      </c>
      <c r="H19" s="3">
        <v>22.073874258313861</v>
      </c>
      <c r="I19" s="3">
        <v>22.326727268709377</v>
      </c>
      <c r="J19" s="3">
        <v>23.064247872460058</v>
      </c>
      <c r="K19" s="3">
        <v>22.654569808331281</v>
      </c>
      <c r="L19" s="8">
        <f t="shared" si="0"/>
        <v>174.85003617362744</v>
      </c>
    </row>
    <row r="20" spans="1:12" x14ac:dyDescent="0.3">
      <c r="A20">
        <v>14</v>
      </c>
      <c r="B20" s="2" t="s">
        <v>19</v>
      </c>
      <c r="C20" s="2">
        <v>0.35492263599845947</v>
      </c>
      <c r="D20" s="2">
        <v>0.5275386829131995</v>
      </c>
      <c r="E20" s="2">
        <v>1.1780254930975418</v>
      </c>
      <c r="F20" s="2">
        <v>1.4103892045942219</v>
      </c>
      <c r="G20" s="2">
        <v>1.4238535207342093</v>
      </c>
      <c r="H20" s="2">
        <v>1.3730903964300276</v>
      </c>
      <c r="I20" s="2">
        <v>1.3813948866445569</v>
      </c>
      <c r="J20" s="2">
        <v>1.3438895196988967</v>
      </c>
      <c r="K20" s="2">
        <v>1.3218426990919234</v>
      </c>
      <c r="L20" s="8">
        <f t="shared" si="0"/>
        <v>10.314947039203037</v>
      </c>
    </row>
    <row r="21" spans="1:12" x14ac:dyDescent="0.3">
      <c r="A21">
        <v>15</v>
      </c>
      <c r="B21" s="3" t="s">
        <v>20</v>
      </c>
      <c r="C21" s="3">
        <v>6.9610740714681842</v>
      </c>
      <c r="D21" s="3">
        <v>8.4579696306301031</v>
      </c>
      <c r="E21" s="3">
        <v>12.802934024409343</v>
      </c>
      <c r="F21" s="3">
        <v>9.8576179692584471</v>
      </c>
      <c r="G21" s="3">
        <v>9.6663265153027016</v>
      </c>
      <c r="H21" s="3">
        <v>9.4128718440724803</v>
      </c>
      <c r="I21" s="3">
        <v>9.1020553409267944</v>
      </c>
      <c r="J21" s="3">
        <v>9.0067724902478474</v>
      </c>
      <c r="K21" s="3">
        <v>9.1116945236980165</v>
      </c>
      <c r="L21" s="8">
        <f t="shared" si="0"/>
        <v>84.379316410013928</v>
      </c>
    </row>
    <row r="22" spans="1:12" x14ac:dyDescent="0.3">
      <c r="A22">
        <v>16</v>
      </c>
      <c r="B22" s="2" t="s">
        <v>21</v>
      </c>
      <c r="C22" s="2">
        <v>7.6023079274192691</v>
      </c>
      <c r="D22" s="2">
        <v>9.0475318211658742</v>
      </c>
      <c r="E22" s="2">
        <v>12.744264316406978</v>
      </c>
      <c r="F22" s="2">
        <v>15.645060303854564</v>
      </c>
      <c r="G22" s="2">
        <v>15.483677331631938</v>
      </c>
      <c r="H22" s="2">
        <v>16.098444436088442</v>
      </c>
      <c r="I22" s="2">
        <v>15.932846646720231</v>
      </c>
      <c r="J22" s="2">
        <v>15.034525618339197</v>
      </c>
      <c r="K22" s="2">
        <v>14.33726664346362</v>
      </c>
      <c r="L22" s="8">
        <f t="shared" si="0"/>
        <v>121.92592504509012</v>
      </c>
    </row>
    <row r="23" spans="1:12" x14ac:dyDescent="0.3">
      <c r="A23">
        <v>17</v>
      </c>
      <c r="B23" s="3" t="s">
        <v>22</v>
      </c>
      <c r="C23" s="3">
        <v>1.6707343753427266</v>
      </c>
      <c r="D23" s="3">
        <v>2.6018312441185119</v>
      </c>
      <c r="E23" s="3">
        <v>3.4967687517404555</v>
      </c>
      <c r="F23" s="3">
        <v>3.447327094007504</v>
      </c>
      <c r="G23" s="3">
        <v>3.5451572282509236</v>
      </c>
      <c r="H23" s="3">
        <v>3.3004639515869294</v>
      </c>
      <c r="I23" s="3">
        <v>3.3650376170780216</v>
      </c>
      <c r="J23" s="3">
        <v>3.5958589381278494</v>
      </c>
      <c r="K23" s="3">
        <v>3.448315626755357</v>
      </c>
      <c r="L23" s="8">
        <f t="shared" si="0"/>
        <v>28.471494827008279</v>
      </c>
    </row>
    <row r="24" spans="1:12" x14ac:dyDescent="0.3">
      <c r="A24">
        <v>18</v>
      </c>
      <c r="B24" s="2" t="s">
        <v>23</v>
      </c>
      <c r="C24" s="2">
        <v>4.5367353886793333</v>
      </c>
      <c r="D24" s="2">
        <v>9.6327043414732714</v>
      </c>
      <c r="E24" s="2">
        <v>10.475785070964346</v>
      </c>
      <c r="F24" s="2">
        <v>10.348690499951964</v>
      </c>
      <c r="G24" s="2">
        <v>10.231955054539249</v>
      </c>
      <c r="H24" s="2">
        <v>7.2495354397180858</v>
      </c>
      <c r="I24" s="2">
        <v>9.8686513408764132</v>
      </c>
      <c r="J24" s="2">
        <v>10.701311507465864</v>
      </c>
      <c r="K24" s="2">
        <v>9.9250675502114127</v>
      </c>
      <c r="L24" s="8">
        <f t="shared" si="0"/>
        <v>82.970436193879934</v>
      </c>
    </row>
    <row r="25" spans="1:12" x14ac:dyDescent="0.3">
      <c r="A25">
        <v>19</v>
      </c>
      <c r="B25" s="2" t="s">
        <v>25</v>
      </c>
      <c r="C25" s="2">
        <v>10.871234764741812</v>
      </c>
      <c r="D25" s="2">
        <v>14.951913764764523</v>
      </c>
      <c r="E25" s="2">
        <v>17.653367089822826</v>
      </c>
      <c r="F25" s="2">
        <v>17.198948200005461</v>
      </c>
      <c r="G25" s="2">
        <v>17.1888724217199</v>
      </c>
      <c r="H25" s="2">
        <v>16.291734452069548</v>
      </c>
      <c r="I25" s="2">
        <v>16.577837403712234</v>
      </c>
      <c r="J25" s="2">
        <v>16.179147280463877</v>
      </c>
      <c r="K25" s="2">
        <v>16.515419390413072</v>
      </c>
      <c r="L25" s="8">
        <f t="shared" si="0"/>
        <v>143.42847476771328</v>
      </c>
    </row>
    <row r="26" spans="1:12" x14ac:dyDescent="0.3">
      <c r="A26">
        <v>20</v>
      </c>
      <c r="B26" s="3" t="s">
        <v>26</v>
      </c>
      <c r="C26" s="3">
        <v>7.3001205561912208</v>
      </c>
      <c r="D26" s="3">
        <v>7.8449972577290978</v>
      </c>
      <c r="E26" s="3">
        <v>7.7357166164252682</v>
      </c>
      <c r="F26" s="3">
        <v>7.6863651058004727</v>
      </c>
      <c r="G26" s="3">
        <v>7.6231208934888732</v>
      </c>
      <c r="H26" s="3">
        <v>7.5838251556855081</v>
      </c>
      <c r="I26" s="3">
        <v>7.5106191615535804</v>
      </c>
      <c r="J26" s="3">
        <v>7.4818121524146903</v>
      </c>
      <c r="K26" s="3">
        <v>7.5044821993945394</v>
      </c>
      <c r="L26" s="8">
        <f t="shared" si="0"/>
        <v>68.271059098683253</v>
      </c>
    </row>
    <row r="27" spans="1:12" x14ac:dyDescent="0.3">
      <c r="A27">
        <v>21</v>
      </c>
      <c r="B27" s="2" t="s">
        <v>27</v>
      </c>
      <c r="C27" s="2">
        <v>4.6964104289603279</v>
      </c>
      <c r="D27" s="2">
        <v>5.0424069729440379</v>
      </c>
      <c r="E27" s="2">
        <v>5.0280491281636266</v>
      </c>
      <c r="F27" s="2">
        <v>5.1534566071320596</v>
      </c>
      <c r="G27" s="2">
        <v>5.1077104788355516</v>
      </c>
      <c r="H27" s="2">
        <v>5.1657636228099761</v>
      </c>
      <c r="I27" s="2">
        <v>5.1734211900915996</v>
      </c>
      <c r="J27" s="2">
        <v>5.1556750381749268</v>
      </c>
      <c r="K27" s="2">
        <v>5.1909920812441133</v>
      </c>
      <c r="L27" s="8">
        <f t="shared" si="0"/>
        <v>45.713885548356224</v>
      </c>
    </row>
    <row r="28" spans="1:12" x14ac:dyDescent="0.3">
      <c r="A28">
        <v>22</v>
      </c>
      <c r="B28" s="3" t="s">
        <v>28</v>
      </c>
      <c r="C28" s="3">
        <v>11.380042260367665</v>
      </c>
      <c r="D28" s="3">
        <v>12.616903651839497</v>
      </c>
      <c r="E28" s="3">
        <v>13.815953195590195</v>
      </c>
      <c r="F28" s="3">
        <v>14.61979985986523</v>
      </c>
      <c r="G28" s="3">
        <v>15.080473025776334</v>
      </c>
      <c r="H28" s="3">
        <v>14.839388463102162</v>
      </c>
      <c r="I28" s="3">
        <v>15.014181697224736</v>
      </c>
      <c r="J28" s="3">
        <v>15.245834855711728</v>
      </c>
      <c r="K28" s="3">
        <v>15.098008190784354</v>
      </c>
      <c r="L28" s="8">
        <f t="shared" si="0"/>
        <v>127.7105852002619</v>
      </c>
    </row>
    <row r="29" spans="1:12" x14ac:dyDescent="0.3">
      <c r="A29">
        <v>23</v>
      </c>
      <c r="B29" s="2" t="s">
        <v>29</v>
      </c>
      <c r="C29" s="2">
        <v>19.217340348477951</v>
      </c>
      <c r="D29" s="2">
        <v>20.277706819054966</v>
      </c>
      <c r="E29" s="2">
        <v>26.639847360344397</v>
      </c>
      <c r="F29" s="2">
        <v>21.32416028345088</v>
      </c>
      <c r="G29" s="2">
        <v>21.532423062966419</v>
      </c>
      <c r="H29" s="2">
        <v>32.142406043572102</v>
      </c>
      <c r="I29" s="2">
        <v>21.682663739662136</v>
      </c>
      <c r="J29" s="2">
        <v>37.107636331678279</v>
      </c>
      <c r="K29" s="2">
        <v>21.066447724033317</v>
      </c>
      <c r="L29" s="8">
        <f t="shared" si="0"/>
        <v>220.99063171324042</v>
      </c>
    </row>
    <row r="30" spans="1:12" x14ac:dyDescent="0.3">
      <c r="A30">
        <v>24</v>
      </c>
      <c r="B30" s="3" t="s">
        <v>30</v>
      </c>
      <c r="C30" s="3">
        <v>9.3931313331681086</v>
      </c>
      <c r="D30" s="3">
        <v>16.132484859890408</v>
      </c>
      <c r="E30" s="3">
        <v>20.196646468807955</v>
      </c>
      <c r="F30" s="3">
        <v>19.27653060154039</v>
      </c>
      <c r="G30" s="3">
        <v>18.8491836664628</v>
      </c>
      <c r="H30" s="3">
        <v>17.535798010199962</v>
      </c>
      <c r="I30" s="3">
        <v>17.615876291216033</v>
      </c>
      <c r="J30" s="3">
        <v>19.197278357043707</v>
      </c>
      <c r="K30" s="3">
        <v>17.656326581020743</v>
      </c>
      <c r="L30" s="8">
        <f t="shared" si="0"/>
        <v>155.85325616935012</v>
      </c>
    </row>
    <row r="31" spans="1:12" x14ac:dyDescent="0.3">
      <c r="A31">
        <v>25</v>
      </c>
      <c r="B31" s="2" t="s">
        <v>31</v>
      </c>
      <c r="C31" s="2">
        <v>1.1550233614413399</v>
      </c>
      <c r="D31" s="2">
        <v>1.3497064908982195</v>
      </c>
      <c r="E31" s="2">
        <v>1.6320355446500419</v>
      </c>
      <c r="F31" s="2">
        <v>1.7242390264493495</v>
      </c>
      <c r="G31" s="2">
        <v>1.7230241605319554</v>
      </c>
      <c r="H31" s="2">
        <v>1.6254580995116514</v>
      </c>
      <c r="I31" s="2">
        <v>1.5722855827048103</v>
      </c>
      <c r="J31" s="2">
        <v>1.6078453703705842</v>
      </c>
      <c r="K31" s="2">
        <v>1.578747686420334</v>
      </c>
      <c r="L31" s="8">
        <f t="shared" si="0"/>
        <v>13.968365322978284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0F88-0EC8-4D46-AC21-6E40BAB8BE01}">
  <dimension ref="A3:Z30"/>
  <sheetViews>
    <sheetView topLeftCell="G1" workbookViewId="0">
      <selection activeCell="X3" sqref="X3"/>
    </sheetView>
  </sheetViews>
  <sheetFormatPr defaultRowHeight="14.4" x14ac:dyDescent="0.3"/>
  <sheetData>
    <row r="3" spans="1:26" x14ac:dyDescent="0.3">
      <c r="A3" t="s">
        <v>33</v>
      </c>
      <c r="B3" s="1" t="s">
        <v>0</v>
      </c>
      <c r="C3" s="5" t="s">
        <v>34</v>
      </c>
      <c r="D3" s="5" t="s">
        <v>35</v>
      </c>
      <c r="E3" s="5" t="s">
        <v>36</v>
      </c>
      <c r="F3" s="5" t="s">
        <v>37</v>
      </c>
      <c r="G3" s="5" t="s">
        <v>38</v>
      </c>
      <c r="H3" s="5" t="s">
        <v>39</v>
      </c>
      <c r="I3" s="5" t="s">
        <v>40</v>
      </c>
      <c r="J3" s="5" t="s">
        <v>41</v>
      </c>
      <c r="K3" s="5" t="s">
        <v>42</v>
      </c>
      <c r="L3" s="5" t="s">
        <v>43</v>
      </c>
      <c r="M3" s="5" t="s">
        <v>44</v>
      </c>
      <c r="N3" s="5" t="s">
        <v>45</v>
      </c>
      <c r="O3" s="5" t="s">
        <v>46</v>
      </c>
      <c r="P3" s="5" t="s">
        <v>47</v>
      </c>
      <c r="Q3" s="5" t="s">
        <v>48</v>
      </c>
      <c r="R3" s="5" t="s">
        <v>49</v>
      </c>
      <c r="S3" s="5" t="s">
        <v>50</v>
      </c>
      <c r="T3" s="5" t="s">
        <v>51</v>
      </c>
      <c r="U3" s="5" t="s">
        <v>52</v>
      </c>
      <c r="V3" s="5" t="s">
        <v>53</v>
      </c>
      <c r="W3" s="5" t="s">
        <v>54</v>
      </c>
      <c r="X3" s="5" t="s">
        <v>55</v>
      </c>
      <c r="Y3" s="5" t="s">
        <v>56</v>
      </c>
      <c r="Z3" s="5" t="s">
        <v>57</v>
      </c>
    </row>
    <row r="4" spans="1:26" x14ac:dyDescent="0.3">
      <c r="B4" s="2" t="s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1.2391696728483019</v>
      </c>
      <c r="I4" s="2">
        <v>2.8892355003688897</v>
      </c>
      <c r="J4" s="2">
        <v>31.768627931347368</v>
      </c>
      <c r="K4" s="2">
        <v>102.35981789336921</v>
      </c>
      <c r="L4" s="2">
        <v>179.67635463770429</v>
      </c>
      <c r="M4" s="2">
        <v>250.79704277998277</v>
      </c>
      <c r="N4" s="2">
        <v>298.47202026715757</v>
      </c>
      <c r="O4" s="4">
        <v>303</v>
      </c>
      <c r="P4" s="2">
        <v>294.33778751243517</v>
      </c>
      <c r="Q4" s="2">
        <v>263.54456213803229</v>
      </c>
      <c r="R4" s="2">
        <v>192.50810646988162</v>
      </c>
      <c r="S4" s="2">
        <v>108.46363556777368</v>
      </c>
      <c r="T4" s="2">
        <v>34.258632996414271</v>
      </c>
      <c r="U4" s="2">
        <v>10.753954710160615</v>
      </c>
      <c r="V4" s="2">
        <v>0</v>
      </c>
      <c r="W4" s="2">
        <v>0</v>
      </c>
      <c r="X4" s="2">
        <v>0</v>
      </c>
      <c r="Y4" s="2">
        <v>0</v>
      </c>
      <c r="Z4" s="2">
        <v>0</v>
      </c>
    </row>
    <row r="5" spans="1:26" x14ac:dyDescent="0.3">
      <c r="B5" s="3" t="s">
        <v>2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9.7461933563203543E-4</v>
      </c>
      <c r="I5" s="3">
        <v>1.6487309765732527</v>
      </c>
      <c r="J5" s="3">
        <v>12.890152296684864</v>
      </c>
      <c r="K5" s="3">
        <v>42.987427961071823</v>
      </c>
      <c r="L5" s="3">
        <v>66.233519043990313</v>
      </c>
      <c r="M5" s="3">
        <v>89.758460594845673</v>
      </c>
      <c r="N5" s="3">
        <v>106.40866825580589</v>
      </c>
      <c r="O5" s="3">
        <v>110.4793925122369</v>
      </c>
      <c r="P5" s="3">
        <v>106.13792405430267</v>
      </c>
      <c r="Q5" s="3">
        <v>95.588293629054732</v>
      </c>
      <c r="R5" s="3">
        <v>74.23384297365628</v>
      </c>
      <c r="S5" s="3">
        <v>46.494298769665662</v>
      </c>
      <c r="T5" s="3">
        <v>18.104222825886325</v>
      </c>
      <c r="U5" s="3">
        <v>2.9005772391074798</v>
      </c>
      <c r="V5" s="3">
        <v>0</v>
      </c>
      <c r="W5" s="3">
        <v>0</v>
      </c>
      <c r="X5" s="3">
        <v>0</v>
      </c>
      <c r="Y5" s="3">
        <v>0</v>
      </c>
      <c r="Z5" s="3">
        <v>0</v>
      </c>
    </row>
    <row r="6" spans="1:26" x14ac:dyDescent="0.3">
      <c r="A6">
        <v>0</v>
      </c>
      <c r="B6" s="2" t="s">
        <v>3</v>
      </c>
      <c r="C6" s="2">
        <v>5.865442938452599</v>
      </c>
      <c r="D6" s="2">
        <v>14.084890007972717</v>
      </c>
      <c r="E6" s="2">
        <v>14.807862908545147</v>
      </c>
      <c r="F6" s="2">
        <v>14.575781851006834</v>
      </c>
      <c r="G6" s="2">
        <v>13.856695657589762</v>
      </c>
      <c r="H6" s="2">
        <v>13.326889280504828</v>
      </c>
      <c r="I6" s="2">
        <v>13.08731649540089</v>
      </c>
      <c r="J6" s="2">
        <v>13.058464629882915</v>
      </c>
      <c r="K6" s="2">
        <v>13.54130741873303</v>
      </c>
      <c r="L6" s="2">
        <v>14.725333340641626</v>
      </c>
      <c r="M6" s="2">
        <v>16.661762574045952</v>
      </c>
      <c r="N6" s="2">
        <v>18.245030231923867</v>
      </c>
      <c r="O6" s="2">
        <v>19.830627567816101</v>
      </c>
      <c r="P6" s="2">
        <v>20.578770039876304</v>
      </c>
      <c r="Q6" s="2">
        <v>20.769833329518637</v>
      </c>
      <c r="R6" s="2">
        <v>20.862662218087493</v>
      </c>
      <c r="S6" s="2">
        <v>21.328316650390626</v>
      </c>
      <c r="T6" s="2">
        <v>21.52291976648031</v>
      </c>
      <c r="U6" s="2">
        <v>21.384103679338029</v>
      </c>
      <c r="V6" s="2">
        <v>21.311425224887177</v>
      </c>
      <c r="W6" s="2">
        <v>20.874827275640545</v>
      </c>
      <c r="X6" s="2">
        <v>20.092438588506756</v>
      </c>
      <c r="Y6" s="2">
        <v>18.719219212516204</v>
      </c>
      <c r="Z6" s="2">
        <v>17.236325527742459</v>
      </c>
    </row>
    <row r="7" spans="1:26" x14ac:dyDescent="0.3">
      <c r="A7">
        <v>1</v>
      </c>
      <c r="B7" s="3" t="s">
        <v>4</v>
      </c>
      <c r="C7" s="3">
        <v>5.7440476597375497E-3</v>
      </c>
      <c r="D7" s="3">
        <v>1.2291667007264634E-2</v>
      </c>
      <c r="E7" s="3">
        <v>1.2380952381395865E-2</v>
      </c>
      <c r="F7" s="3">
        <v>1.2386904863108479E-2</v>
      </c>
      <c r="G7" s="3">
        <v>1.2363095612575613E-2</v>
      </c>
      <c r="H7" s="3">
        <v>1.2261904953491115E-2</v>
      </c>
      <c r="I7" s="3">
        <v>1.2248484835480199E-2</v>
      </c>
      <c r="J7" s="3">
        <v>1.2206060631257117E-2</v>
      </c>
      <c r="K7" s="3">
        <v>1.2187879114891543E-2</v>
      </c>
      <c r="L7" s="3">
        <v>1.1915151741016995E-2</v>
      </c>
      <c r="M7" s="3">
        <v>1.7148809693199357E-2</v>
      </c>
      <c r="N7" s="3">
        <v>2.3048780733583168E-2</v>
      </c>
      <c r="O7" s="3">
        <v>2.4622754603735884E-2</v>
      </c>
      <c r="P7" s="3">
        <v>2.0760479114787976E-2</v>
      </c>
      <c r="Q7" s="3">
        <v>2.2664670823392876E-2</v>
      </c>
      <c r="R7" s="3">
        <v>2.4714286184115784E-2</v>
      </c>
      <c r="S7" s="3">
        <v>2.2458333540790982E-2</v>
      </c>
      <c r="T7" s="3">
        <v>1.550898211868759E-2</v>
      </c>
      <c r="U7" s="3">
        <v>2.0335329606610462E-2</v>
      </c>
      <c r="V7" s="3">
        <v>1.5275449363771308E-2</v>
      </c>
      <c r="W7" s="3">
        <v>1.2101796394336723E-2</v>
      </c>
      <c r="X7" s="3">
        <v>1.2053571863188632E-2</v>
      </c>
      <c r="Y7" s="3">
        <v>1.2095238082110878E-2</v>
      </c>
      <c r="Z7" s="3">
        <v>1.2166666742857723E-2</v>
      </c>
    </row>
    <row r="8" spans="1:26" x14ac:dyDescent="0.3">
      <c r="A8">
        <v>2</v>
      </c>
      <c r="B8" s="2" t="s">
        <v>5</v>
      </c>
      <c r="C8" s="2">
        <v>0.17136170160263142</v>
      </c>
      <c r="D8" s="2">
        <v>0.34786956595337915</v>
      </c>
      <c r="E8" s="2">
        <v>0.36634090915322304</v>
      </c>
      <c r="F8" s="2">
        <v>0.34829545664516359</v>
      </c>
      <c r="G8" s="2">
        <v>0.40721951443247678</v>
      </c>
      <c r="H8" s="2">
        <v>0.39683333287636446</v>
      </c>
      <c r="I8" s="2">
        <v>0.40139024650178307</v>
      </c>
      <c r="J8" s="2">
        <v>0.36019512320437075</v>
      </c>
      <c r="K8" s="2">
        <v>0.62447500340640549</v>
      </c>
      <c r="L8" s="2">
        <v>0.56418420913580203</v>
      </c>
      <c r="M8" s="2">
        <v>0.85682499343529384</v>
      </c>
      <c r="N8" s="2">
        <v>1.0950285630566734</v>
      </c>
      <c r="O8" s="2">
        <v>1.1365000030232799</v>
      </c>
      <c r="P8" s="2">
        <v>1.0851463362938016</v>
      </c>
      <c r="Q8" s="2">
        <v>1.0306410250755467</v>
      </c>
      <c r="R8" s="2">
        <v>1.0047631687239595</v>
      </c>
      <c r="S8" s="2">
        <v>1.1883513488479562</v>
      </c>
      <c r="T8" s="2">
        <v>1.2007027006632576</v>
      </c>
      <c r="U8" s="2">
        <v>1.3079999971546625</v>
      </c>
      <c r="V8" s="2">
        <v>1.2039268238515386</v>
      </c>
      <c r="W8" s="2">
        <v>54.907101814945669</v>
      </c>
      <c r="X8" s="2">
        <v>0.72156410263134896</v>
      </c>
      <c r="Y8" s="2">
        <v>0.64273170908776744</v>
      </c>
      <c r="Z8" s="2">
        <v>0.49523077150567985</v>
      </c>
    </row>
    <row r="9" spans="1:26" x14ac:dyDescent="0.3">
      <c r="A9">
        <v>3</v>
      </c>
      <c r="B9" s="3" t="s">
        <v>6</v>
      </c>
      <c r="C9" s="3">
        <v>3.4713245377750543</v>
      </c>
      <c r="D9" s="3">
        <v>8.111282331176044</v>
      </c>
      <c r="E9" s="3">
        <v>8.7260500703875721</v>
      </c>
      <c r="F9" s="3">
        <v>8.7003060541555559</v>
      </c>
      <c r="G9" s="3">
        <v>8.6729722275759151</v>
      </c>
      <c r="H9" s="3">
        <v>8.6482743964503506</v>
      </c>
      <c r="I9" s="3">
        <v>8.6236622653174209</v>
      </c>
      <c r="J9" s="3">
        <v>8.5837889226413964</v>
      </c>
      <c r="K9" s="3">
        <v>8.9196310841204784</v>
      </c>
      <c r="L9" s="3">
        <v>13.352357906887406</v>
      </c>
      <c r="M9" s="3">
        <v>18.351643045743305</v>
      </c>
      <c r="N9" s="3">
        <v>19.754222234799748</v>
      </c>
      <c r="O9" s="3">
        <v>19.797361582241312</v>
      </c>
      <c r="P9" s="3">
        <v>17.873578931155958</v>
      </c>
      <c r="Q9" s="3">
        <v>17.798010594314999</v>
      </c>
      <c r="R9" s="3">
        <v>18.854960179060143</v>
      </c>
      <c r="S9" s="3">
        <v>18.50070713558738</v>
      </c>
      <c r="T9" s="3">
        <v>16.999670665260965</v>
      </c>
      <c r="U9" s="3">
        <v>11.104872340613857</v>
      </c>
      <c r="V9" s="3">
        <v>9.3449684068560597</v>
      </c>
      <c r="W9" s="3">
        <v>8.9501343885036633</v>
      </c>
      <c r="X9" s="3">
        <v>8.8644026464184389</v>
      </c>
      <c r="Y9" s="3">
        <v>8.7224095176359153</v>
      </c>
      <c r="Z9" s="3">
        <v>8.7258891712549804</v>
      </c>
    </row>
    <row r="10" spans="1:26" x14ac:dyDescent="0.3">
      <c r="A10">
        <v>4</v>
      </c>
      <c r="B10" s="2" t="s">
        <v>7</v>
      </c>
      <c r="C10" s="2">
        <v>2.4201945198006487</v>
      </c>
      <c r="D10" s="2">
        <v>4.7407335639434169</v>
      </c>
      <c r="E10" s="2">
        <v>4.9972078211859472</v>
      </c>
      <c r="F10" s="2">
        <v>5.0436280179959052</v>
      </c>
      <c r="G10" s="2">
        <v>4.9265169576375882</v>
      </c>
      <c r="H10" s="2">
        <v>4.9217486576264129</v>
      </c>
      <c r="I10" s="2">
        <v>5.1552289128449829</v>
      </c>
      <c r="J10" s="2">
        <v>5.4167253317365214</v>
      </c>
      <c r="K10" s="2">
        <v>6.2818794527939259</v>
      </c>
      <c r="L10" s="2">
        <v>10.189866627289705</v>
      </c>
      <c r="M10" s="2">
        <v>14.534941890007309</v>
      </c>
      <c r="N10" s="2">
        <v>15.407063375735223</v>
      </c>
      <c r="O10" s="2">
        <v>15.380825205366254</v>
      </c>
      <c r="P10" s="2">
        <v>14.735653209010987</v>
      </c>
      <c r="Q10" s="2">
        <v>14.247459545890674</v>
      </c>
      <c r="R10" s="2">
        <v>14.351304440655642</v>
      </c>
      <c r="S10" s="2">
        <v>13.608772966943194</v>
      </c>
      <c r="T10" s="2">
        <v>11.707000928096454</v>
      </c>
      <c r="U10" s="2">
        <v>7.7425265006146997</v>
      </c>
      <c r="V10" s="2">
        <v>6.2526759340915206</v>
      </c>
      <c r="W10" s="2">
        <v>5.5222212259365389</v>
      </c>
      <c r="X10" s="2">
        <v>5.3514950388338756</v>
      </c>
      <c r="Y10" s="2">
        <v>5.1706026878199571</v>
      </c>
      <c r="Z10" s="2">
        <v>5.0505781962138441</v>
      </c>
    </row>
    <row r="11" spans="1:26" x14ac:dyDescent="0.3">
      <c r="A11">
        <v>5</v>
      </c>
      <c r="B11" s="3" t="s">
        <v>8</v>
      </c>
      <c r="C11" s="3">
        <v>3.4258395204242476</v>
      </c>
      <c r="D11" s="3">
        <v>7.4039042955576377</v>
      </c>
      <c r="E11" s="3">
        <v>8.00505868702413</v>
      </c>
      <c r="F11" s="3">
        <v>8.0202347480429861</v>
      </c>
      <c r="G11" s="3">
        <v>7.9564038408929125</v>
      </c>
      <c r="H11" s="3">
        <v>7.9448163536514773</v>
      </c>
      <c r="I11" s="3">
        <v>7.8743249188624453</v>
      </c>
      <c r="J11" s="3">
        <v>7.924187505114018</v>
      </c>
      <c r="K11" s="3">
        <v>8.3735185508504735</v>
      </c>
      <c r="L11" s="3">
        <v>8.9086002395415651</v>
      </c>
      <c r="M11" s="3">
        <v>9.4691865883598272</v>
      </c>
      <c r="N11" s="3">
        <v>9.9920000102617834</v>
      </c>
      <c r="O11" s="3">
        <v>10.215561989797941</v>
      </c>
      <c r="P11" s="3">
        <v>10.326859216236036</v>
      </c>
      <c r="Q11" s="3">
        <v>10.229506615365526</v>
      </c>
      <c r="R11" s="3">
        <v>10.270701922431519</v>
      </c>
      <c r="S11" s="3">
        <v>9.9235336608387748</v>
      </c>
      <c r="T11" s="3">
        <v>9.5468564660734803</v>
      </c>
      <c r="U11" s="3">
        <v>8.8729539982135659</v>
      </c>
      <c r="V11" s="3">
        <v>8.4817644393590932</v>
      </c>
      <c r="W11" s="3">
        <v>8.2243798103299905</v>
      </c>
      <c r="X11" s="3">
        <v>8.1631164591656589</v>
      </c>
      <c r="Y11" s="3">
        <v>8.0849375022763308</v>
      </c>
      <c r="Z11" s="3">
        <v>7.991442323492195</v>
      </c>
    </row>
    <row r="12" spans="1:26" x14ac:dyDescent="0.3">
      <c r="A12">
        <v>6</v>
      </c>
      <c r="B12" s="3" t="s">
        <v>10</v>
      </c>
      <c r="C12" s="3">
        <v>0.90048784082665512</v>
      </c>
      <c r="D12" s="3">
        <v>1.8720282895656506</v>
      </c>
      <c r="E12" s="3">
        <v>2.0237784144227398</v>
      </c>
      <c r="F12" s="3">
        <v>2.0143209164318385</v>
      </c>
      <c r="G12" s="3">
        <v>1.9905499978583039</v>
      </c>
      <c r="H12" s="3">
        <v>1.9683585714894747</v>
      </c>
      <c r="I12" s="3">
        <v>1.9743712240022691</v>
      </c>
      <c r="J12" s="3">
        <v>1.9674224098149122</v>
      </c>
      <c r="K12" s="3">
        <v>2.0031884853208854</v>
      </c>
      <c r="L12" s="3">
        <v>2.1595295771728318</v>
      </c>
      <c r="M12" s="3">
        <v>2.75807582117362</v>
      </c>
      <c r="N12" s="3">
        <v>3.0125443961232725</v>
      </c>
      <c r="O12" s="3">
        <v>3.0592510941564139</v>
      </c>
      <c r="P12" s="3">
        <v>3.0966709958505985</v>
      </c>
      <c r="Q12" s="3">
        <v>3.0789942569581079</v>
      </c>
      <c r="R12" s="3">
        <v>2.9830815442569638</v>
      </c>
      <c r="S12" s="3">
        <v>3.0299799397933351</v>
      </c>
      <c r="T12" s="3">
        <v>8.083940716038553</v>
      </c>
      <c r="U12" s="3">
        <v>2.8152281239411994</v>
      </c>
      <c r="V12" s="3">
        <v>2.560886521150477</v>
      </c>
      <c r="W12" s="3">
        <v>2.3228895197135708</v>
      </c>
      <c r="X12" s="3">
        <v>2.1431499984910314</v>
      </c>
      <c r="Y12" s="3">
        <v>2.055152422163776</v>
      </c>
      <c r="Z12" s="3">
        <v>2.037025679116431</v>
      </c>
    </row>
    <row r="13" spans="1:26" x14ac:dyDescent="0.3">
      <c r="A13">
        <v>7</v>
      </c>
      <c r="B13" s="2" t="s">
        <v>11</v>
      </c>
      <c r="C13" s="2">
        <v>1.5604074090108198</v>
      </c>
      <c r="D13" s="2">
        <v>3.149576726315356</v>
      </c>
      <c r="E13" s="2">
        <v>3.4125145877506435</v>
      </c>
      <c r="F13" s="2">
        <v>3.3596874128509042</v>
      </c>
      <c r="G13" s="2">
        <v>3.3415132228028837</v>
      </c>
      <c r="H13" s="2">
        <v>3.2609259295597592</v>
      </c>
      <c r="I13" s="2">
        <v>3.2966170228542166</v>
      </c>
      <c r="J13" s="2">
        <v>3.2481485421050449</v>
      </c>
      <c r="K13" s="2">
        <v>3.2305145897267669</v>
      </c>
      <c r="L13" s="2">
        <v>3.6089561781085346</v>
      </c>
      <c r="M13" s="2">
        <v>4.141857136612531</v>
      </c>
      <c r="N13" s="2">
        <v>4.492495337235785</v>
      </c>
      <c r="O13" s="2">
        <v>4.6679784958000461</v>
      </c>
      <c r="P13" s="2">
        <v>4.7381119926373163</v>
      </c>
      <c r="Q13" s="2">
        <v>4.5975172358419281</v>
      </c>
      <c r="R13" s="2">
        <v>4.576355913008352</v>
      </c>
      <c r="S13" s="2">
        <v>4.5482228121643677</v>
      </c>
      <c r="T13" s="2">
        <v>4.3847765902929163</v>
      </c>
      <c r="U13" s="2">
        <v>4.2503009379386265</v>
      </c>
      <c r="V13" s="2">
        <v>3.8689329695685619</v>
      </c>
      <c r="W13" s="2">
        <v>3.6548229022207019</v>
      </c>
      <c r="X13" s="2">
        <v>3.4717177104021362</v>
      </c>
      <c r="Y13" s="2">
        <v>3.426691391768045</v>
      </c>
      <c r="Z13" s="2">
        <v>3.4224031886347723</v>
      </c>
    </row>
    <row r="14" spans="1:26" x14ac:dyDescent="0.3">
      <c r="A14">
        <v>8</v>
      </c>
      <c r="B14" s="3" t="s">
        <v>12</v>
      </c>
      <c r="C14" s="3">
        <v>4.833396123582884</v>
      </c>
      <c r="D14" s="3">
        <v>9.218677697492863</v>
      </c>
      <c r="E14" s="3">
        <v>9.7941377415801547</v>
      </c>
      <c r="F14" s="3">
        <v>9.7692649172678401</v>
      </c>
      <c r="G14" s="3">
        <v>9.6709363274792217</v>
      </c>
      <c r="H14" s="3">
        <v>9.681608878685763</v>
      </c>
      <c r="I14" s="3">
        <v>9.8524728780495767</v>
      </c>
      <c r="J14" s="3">
        <v>11.129811139239205</v>
      </c>
      <c r="K14" s="3">
        <v>13.455486023226264</v>
      </c>
      <c r="L14" s="3">
        <v>14.718326368757538</v>
      </c>
      <c r="M14" s="3">
        <v>15.283754878347965</v>
      </c>
      <c r="N14" s="3">
        <v>16.347775882950017</v>
      </c>
      <c r="O14" s="3">
        <v>17.182881122202307</v>
      </c>
      <c r="P14" s="3">
        <v>17.509068549012806</v>
      </c>
      <c r="Q14" s="3">
        <v>17.174208386934978</v>
      </c>
      <c r="R14" s="3">
        <v>16.974361598070733</v>
      </c>
      <c r="S14" s="3">
        <v>16.786298461289586</v>
      </c>
      <c r="T14" s="3">
        <v>16.191854891833568</v>
      </c>
      <c r="U14" s="3">
        <v>15.652050185901849</v>
      </c>
      <c r="V14" s="3">
        <v>14.097997196133001</v>
      </c>
      <c r="W14" s="3">
        <v>12.925344432476495</v>
      </c>
      <c r="X14" s="3">
        <v>12.031119749157542</v>
      </c>
      <c r="Y14" s="3">
        <v>10.82965096600168</v>
      </c>
      <c r="Z14" s="3">
        <v>10.113801100677218</v>
      </c>
    </row>
    <row r="15" spans="1:26" x14ac:dyDescent="0.3">
      <c r="A15">
        <v>9</v>
      </c>
      <c r="B15" s="2" t="s">
        <v>13</v>
      </c>
      <c r="C15" s="2">
        <v>4.3297903964613198</v>
      </c>
      <c r="D15" s="2">
        <v>7.2236244439037609</v>
      </c>
      <c r="E15" s="2">
        <v>7.8540130785979558</v>
      </c>
      <c r="F15" s="2">
        <v>7.8968340528063381</v>
      </c>
      <c r="G15" s="2">
        <v>7.7771615690539502</v>
      </c>
      <c r="H15" s="2">
        <v>7.7935196593338745</v>
      </c>
      <c r="I15" s="2">
        <v>7.8290524107920554</v>
      </c>
      <c r="J15" s="2">
        <v>7.8052707363944904</v>
      </c>
      <c r="K15" s="2">
        <v>8.4180916927787397</v>
      </c>
      <c r="L15" s="2">
        <v>11.789759790012409</v>
      </c>
      <c r="M15" s="2">
        <v>12.762279464688364</v>
      </c>
      <c r="N15" s="2">
        <v>12.847899567091829</v>
      </c>
      <c r="O15" s="2">
        <v>13.116720532746294</v>
      </c>
      <c r="P15" s="2">
        <v>12.343649115478783</v>
      </c>
      <c r="Q15" s="2">
        <v>12.238800873798606</v>
      </c>
      <c r="R15" s="2">
        <v>12.755031094021268</v>
      </c>
      <c r="S15" s="2">
        <v>12.686734511788968</v>
      </c>
      <c r="T15" s="2">
        <v>12.636678452008624</v>
      </c>
      <c r="U15" s="2">
        <v>10.424776332420215</v>
      </c>
      <c r="V15" s="2">
        <v>9.0037092427325138</v>
      </c>
      <c r="W15" s="2">
        <v>8.2972995594209511</v>
      </c>
      <c r="X15" s="2">
        <v>8.0119167001623861</v>
      </c>
      <c r="Y15" s="2">
        <v>7.9496622692074688</v>
      </c>
      <c r="Z15" s="2">
        <v>8.005964758112567</v>
      </c>
    </row>
    <row r="16" spans="1:26" x14ac:dyDescent="0.3">
      <c r="A16">
        <v>10</v>
      </c>
      <c r="B16" s="3" t="s">
        <v>14</v>
      </c>
      <c r="C16" s="3">
        <v>1.9329640342177248</v>
      </c>
      <c r="D16" s="3">
        <v>5.4289855075919107</v>
      </c>
      <c r="E16" s="3">
        <v>5.972631573677063</v>
      </c>
      <c r="F16" s="3">
        <v>5.8490454590681829</v>
      </c>
      <c r="G16" s="3">
        <v>5.785656720844667</v>
      </c>
      <c r="H16" s="3">
        <v>5.6501791156939607</v>
      </c>
      <c r="I16" s="3">
        <v>5.8938102426320098</v>
      </c>
      <c r="J16" s="3">
        <v>5.8326222296114318</v>
      </c>
      <c r="K16" s="3">
        <v>6.1971846103668211</v>
      </c>
      <c r="L16" s="3">
        <v>8.4326565302055307</v>
      </c>
      <c r="M16" s="3">
        <v>9.1377710076688814</v>
      </c>
      <c r="N16" s="3">
        <v>9.6797230793879567</v>
      </c>
      <c r="O16" s="3">
        <v>9.5317230481367847</v>
      </c>
      <c r="P16" s="3">
        <v>9.5690156240016222</v>
      </c>
      <c r="Q16" s="3">
        <v>9.2646190609250745</v>
      </c>
      <c r="R16" s="3">
        <v>9.6689692607292788</v>
      </c>
      <c r="S16" s="3">
        <v>9.5234045727562364</v>
      </c>
      <c r="T16" s="3">
        <v>9.7311007967290948</v>
      </c>
      <c r="U16" s="3">
        <v>8.2021230660952078</v>
      </c>
      <c r="V16" s="3">
        <v>6.9915328478291086</v>
      </c>
      <c r="W16" s="3">
        <v>6.5425151577501586</v>
      </c>
      <c r="X16" s="3">
        <v>6.3419083984753559</v>
      </c>
      <c r="Y16" s="3">
        <v>5.899007505044005</v>
      </c>
      <c r="Z16" s="3">
        <v>5.8727575847596833</v>
      </c>
    </row>
    <row r="17" spans="1:26" x14ac:dyDescent="0.3">
      <c r="A17">
        <v>11</v>
      </c>
      <c r="B17" s="2" t="s">
        <v>15</v>
      </c>
      <c r="C17" s="2">
        <v>1.4272705306620419</v>
      </c>
      <c r="D17" s="2">
        <v>2.6071412813189063</v>
      </c>
      <c r="E17" s="2">
        <v>2.7607931255353035</v>
      </c>
      <c r="F17" s="2">
        <v>2.7369812914225911</v>
      </c>
      <c r="G17" s="2">
        <v>2.6608774632532985</v>
      </c>
      <c r="H17" s="2">
        <v>2.6472921099819531</v>
      </c>
      <c r="I17" s="2">
        <v>2.7515892799890449</v>
      </c>
      <c r="J17" s="2">
        <v>2.9624534955144286</v>
      </c>
      <c r="K17" s="2">
        <v>3.8646307294071658</v>
      </c>
      <c r="L17" s="2">
        <v>5.2138398051571562</v>
      </c>
      <c r="M17" s="2">
        <v>5.4855317824640464</v>
      </c>
      <c r="N17" s="2">
        <v>5.5917215468276789</v>
      </c>
      <c r="O17" s="2">
        <v>5.7325650396003445</v>
      </c>
      <c r="P17" s="2">
        <v>5.6324509913693035</v>
      </c>
      <c r="Q17" s="2">
        <v>5.4730101069444883</v>
      </c>
      <c r="R17" s="2">
        <v>5.4709858569768128</v>
      </c>
      <c r="S17" s="2">
        <v>5.3157699282998152</v>
      </c>
      <c r="T17" s="2">
        <v>5.0075431491995257</v>
      </c>
      <c r="U17" s="2">
        <v>3.9268463922224917</v>
      </c>
      <c r="V17" s="2">
        <v>3.4639311069282943</v>
      </c>
      <c r="W17" s="2">
        <v>3.2476673448429034</v>
      </c>
      <c r="X17" s="2">
        <v>3.2765136565280941</v>
      </c>
      <c r="Y17" s="2">
        <v>3.2924584243446589</v>
      </c>
      <c r="Z17" s="2">
        <v>3.0267497499588041</v>
      </c>
    </row>
    <row r="18" spans="1:26" x14ac:dyDescent="0.3">
      <c r="A18">
        <v>12</v>
      </c>
      <c r="B18" s="2" t="s">
        <v>17</v>
      </c>
      <c r="C18" s="2">
        <v>1.2254351701578754</v>
      </c>
      <c r="D18" s="2">
        <v>2.3676003534972643</v>
      </c>
      <c r="E18" s="2">
        <v>2.5819128888696432</v>
      </c>
      <c r="F18" s="2">
        <v>2.5413102206606419</v>
      </c>
      <c r="G18" s="2">
        <v>2.5078861216647432</v>
      </c>
      <c r="H18" s="2">
        <v>2.4263282763885115</v>
      </c>
      <c r="I18" s="2">
        <v>2.5203795829004521</v>
      </c>
      <c r="J18" s="2">
        <v>3.8095405188514349</v>
      </c>
      <c r="K18" s="2">
        <v>5.2211504923295857</v>
      </c>
      <c r="L18" s="2">
        <v>6.6560911501685389</v>
      </c>
      <c r="M18" s="2">
        <v>7.4569778182885109</v>
      </c>
      <c r="N18" s="2">
        <v>7.9984744769102507</v>
      </c>
      <c r="O18" s="2">
        <v>8.2453566301650767</v>
      </c>
      <c r="P18" s="2">
        <v>7.8078373982596307</v>
      </c>
      <c r="Q18" s="2">
        <v>7.7872779336029714</v>
      </c>
      <c r="R18" s="2">
        <v>8.0012840543386794</v>
      </c>
      <c r="S18" s="2">
        <v>8.098505397544999</v>
      </c>
      <c r="T18" s="2">
        <v>7.7459317827513656</v>
      </c>
      <c r="U18" s="2">
        <v>6.5686100016032345</v>
      </c>
      <c r="V18" s="2">
        <v>5.1393429571443274</v>
      </c>
      <c r="W18" s="2">
        <v>3.633175833165021</v>
      </c>
      <c r="X18" s="2">
        <v>3.0307276032776551</v>
      </c>
      <c r="Y18" s="2">
        <v>2.7959767191907625</v>
      </c>
      <c r="Z18" s="2">
        <v>2.7433202561150147</v>
      </c>
    </row>
    <row r="19" spans="1:26" x14ac:dyDescent="0.3">
      <c r="A19">
        <v>13</v>
      </c>
      <c r="B19" s="3" t="s">
        <v>18</v>
      </c>
      <c r="C19" s="3">
        <v>2.9399111164940734</v>
      </c>
      <c r="D19" s="3">
        <v>5.7529281809185093</v>
      </c>
      <c r="E19" s="3">
        <v>6.2472200619477096</v>
      </c>
      <c r="F19" s="3">
        <v>6.2258771031928459</v>
      </c>
      <c r="G19" s="3">
        <v>6.1230222344398513</v>
      </c>
      <c r="H19" s="3">
        <v>6.0711910148684902</v>
      </c>
      <c r="I19" s="3">
        <v>6.07480110741463</v>
      </c>
      <c r="J19" s="3">
        <v>6.1597771551615681</v>
      </c>
      <c r="K19" s="3">
        <v>6.5577653455001679</v>
      </c>
      <c r="L19" s="3">
        <v>12.694934856283766</v>
      </c>
      <c r="M19" s="3">
        <v>20.251920676434008</v>
      </c>
      <c r="N19" s="3">
        <v>22.188872474786582</v>
      </c>
      <c r="O19" s="3">
        <v>23.037123612808376</v>
      </c>
      <c r="P19" s="3">
        <v>22.073874258313861</v>
      </c>
      <c r="Q19" s="3">
        <v>22.326727268709377</v>
      </c>
      <c r="R19" s="3">
        <v>23.064247872460058</v>
      </c>
      <c r="S19" s="3">
        <v>22.654569808331281</v>
      </c>
      <c r="T19" s="3">
        <v>20.211610005758597</v>
      </c>
      <c r="U19" s="3">
        <v>17.385533620132502</v>
      </c>
      <c r="V19" s="3">
        <v>8.9848690610742175</v>
      </c>
      <c r="W19" s="3">
        <v>7.3919093328562404</v>
      </c>
      <c r="X19" s="3">
        <v>6.6551864527713107</v>
      </c>
      <c r="Y19" s="3">
        <v>6.5501058480201655</v>
      </c>
      <c r="Z19" s="3">
        <v>6.3429526379513552</v>
      </c>
    </row>
    <row r="20" spans="1:26" x14ac:dyDescent="0.3">
      <c r="A20">
        <v>14</v>
      </c>
      <c r="B20" s="2" t="s">
        <v>19</v>
      </c>
      <c r="C20" s="2">
        <v>0.12648870083529734</v>
      </c>
      <c r="D20" s="2">
        <v>0.23988418043249071</v>
      </c>
      <c r="E20" s="2">
        <v>0.2594872525030425</v>
      </c>
      <c r="F20" s="2">
        <v>0.26042776238226012</v>
      </c>
      <c r="G20" s="2">
        <v>0.25570821441266756</v>
      </c>
      <c r="H20" s="2">
        <v>0.25465155842452819</v>
      </c>
      <c r="I20" s="2">
        <v>0.25791737853292046</v>
      </c>
      <c r="J20" s="2">
        <v>0.26734188058946884</v>
      </c>
      <c r="K20" s="2">
        <v>0.35492263599845947</v>
      </c>
      <c r="L20" s="2">
        <v>0.5275386829131995</v>
      </c>
      <c r="M20" s="2">
        <v>1.1780254930975418</v>
      </c>
      <c r="N20" s="2">
        <v>1.4103892045942219</v>
      </c>
      <c r="O20" s="2">
        <v>1.4238535207342093</v>
      </c>
      <c r="P20" s="2">
        <v>1.3730903964300276</v>
      </c>
      <c r="Q20" s="2">
        <v>1.3813948866445569</v>
      </c>
      <c r="R20" s="2">
        <v>1.3438895196988967</v>
      </c>
      <c r="S20" s="2">
        <v>1.3218426990919234</v>
      </c>
      <c r="T20" s="2">
        <v>1.166977463914475</v>
      </c>
      <c r="U20" s="2">
        <v>0.75803370700542161</v>
      </c>
      <c r="V20" s="2">
        <v>0.4197535418375018</v>
      </c>
      <c r="W20" s="2">
        <v>0.31510704291958203</v>
      </c>
      <c r="X20" s="2">
        <v>0.27427683614909987</v>
      </c>
      <c r="Y20" s="2">
        <v>0.2632521251612277</v>
      </c>
      <c r="Z20" s="2">
        <v>0.25943019945821877</v>
      </c>
    </row>
    <row r="21" spans="1:26" x14ac:dyDescent="0.3">
      <c r="A21">
        <v>15</v>
      </c>
      <c r="B21" s="3" t="s">
        <v>20</v>
      </c>
      <c r="C21" s="3">
        <v>1.7571072880302043</v>
      </c>
      <c r="D21" s="3">
        <v>3.5011178819845052</v>
      </c>
      <c r="E21" s="3">
        <v>3.7419351405808658</v>
      </c>
      <c r="F21" s="3">
        <v>3.7160237912145262</v>
      </c>
      <c r="G21" s="3">
        <v>3.67783783891913</v>
      </c>
      <c r="H21" s="3">
        <v>3.6666033034277437</v>
      </c>
      <c r="I21" s="3">
        <v>3.9824698903085696</v>
      </c>
      <c r="J21" s="3">
        <v>5.1994716016430518</v>
      </c>
      <c r="K21" s="3">
        <v>6.9610740714681842</v>
      </c>
      <c r="L21" s="3">
        <v>8.4579696306301031</v>
      </c>
      <c r="M21" s="3">
        <v>12.802934024409343</v>
      </c>
      <c r="N21" s="3">
        <v>9.8576179692584471</v>
      </c>
      <c r="O21" s="3">
        <v>9.6663265153027016</v>
      </c>
      <c r="P21" s="3">
        <v>9.4128718440724803</v>
      </c>
      <c r="Q21" s="3">
        <v>9.1020553409267944</v>
      </c>
      <c r="R21" s="3">
        <v>9.0067724902478474</v>
      </c>
      <c r="S21" s="3">
        <v>9.1116945236980165</v>
      </c>
      <c r="T21" s="3">
        <v>8.9489647809849231</v>
      </c>
      <c r="U21" s="3">
        <v>8.3116274078290466</v>
      </c>
      <c r="V21" s="3">
        <v>6.5892910822389936</v>
      </c>
      <c r="W21" s="3">
        <v>5.4275655020138718</v>
      </c>
      <c r="X21" s="3">
        <v>4.6637678117267694</v>
      </c>
      <c r="Y21" s="3">
        <v>4.1105497719507591</v>
      </c>
      <c r="Z21" s="3">
        <v>4.0384423936439662</v>
      </c>
    </row>
    <row r="22" spans="1:26" x14ac:dyDescent="0.3">
      <c r="A22">
        <v>16</v>
      </c>
      <c r="B22" s="2" t="s">
        <v>21</v>
      </c>
      <c r="C22" s="2">
        <v>2.9126529912655283</v>
      </c>
      <c r="D22" s="2">
        <v>6.1640536160875197</v>
      </c>
      <c r="E22" s="2">
        <v>6.6157318605609499</v>
      </c>
      <c r="F22" s="2">
        <v>6.5559021960297592</v>
      </c>
      <c r="G22" s="2">
        <v>6.3860189185157559</v>
      </c>
      <c r="H22" s="2">
        <v>6.3491613959209827</v>
      </c>
      <c r="I22" s="2">
        <v>6.4085492050836956</v>
      </c>
      <c r="J22" s="2">
        <v>6.6384730028727699</v>
      </c>
      <c r="K22" s="2">
        <v>7.6023079274192691</v>
      </c>
      <c r="L22" s="2">
        <v>9.0475318211658742</v>
      </c>
      <c r="M22" s="2">
        <v>12.744264316406978</v>
      </c>
      <c r="N22" s="2">
        <v>15.645060303854564</v>
      </c>
      <c r="O22" s="2">
        <v>15.483677331631938</v>
      </c>
      <c r="P22" s="2">
        <v>16.098444436088442</v>
      </c>
      <c r="Q22" s="2">
        <v>15.932846646720231</v>
      </c>
      <c r="R22" s="2">
        <v>15.034525618339197</v>
      </c>
      <c r="S22" s="2">
        <v>14.33726664346362</v>
      </c>
      <c r="T22" s="2">
        <v>14.462855795255074</v>
      </c>
      <c r="U22" s="2">
        <v>15.788996857932851</v>
      </c>
      <c r="V22" s="2">
        <v>16.30367296746692</v>
      </c>
      <c r="W22" s="2">
        <v>16.295175567316036</v>
      </c>
      <c r="X22" s="2">
        <v>15.182771162553268</v>
      </c>
      <c r="Y22" s="2">
        <v>10.306871489671332</v>
      </c>
      <c r="Z22" s="2">
        <v>7.4293427624792407</v>
      </c>
    </row>
    <row r="23" spans="1:26" x14ac:dyDescent="0.3">
      <c r="A23">
        <v>17</v>
      </c>
      <c r="B23" s="3" t="s">
        <v>22</v>
      </c>
      <c r="C23" s="3">
        <v>0.85646875137463208</v>
      </c>
      <c r="D23" s="3">
        <v>1.5070937457494435</v>
      </c>
      <c r="E23" s="3">
        <v>1.6239843247078802</v>
      </c>
      <c r="F23" s="3">
        <v>1.6215109022978311</v>
      </c>
      <c r="G23" s="3">
        <v>1.59945625141263</v>
      </c>
      <c r="H23" s="3">
        <v>1.5862156226299704</v>
      </c>
      <c r="I23" s="3">
        <v>1.5760406233370303</v>
      </c>
      <c r="J23" s="3">
        <v>1.4879657277994069</v>
      </c>
      <c r="K23" s="3">
        <v>1.6707343753427266</v>
      </c>
      <c r="L23" s="3">
        <v>2.6018312441185119</v>
      </c>
      <c r="M23" s="3">
        <v>3.4967687517404555</v>
      </c>
      <c r="N23" s="3">
        <v>3.447327094007504</v>
      </c>
      <c r="O23" s="3">
        <v>3.5451572282509236</v>
      </c>
      <c r="P23" s="3">
        <v>3.3004639515869294</v>
      </c>
      <c r="Q23" s="3">
        <v>3.3650376170780216</v>
      </c>
      <c r="R23" s="3">
        <v>3.5958589381278494</v>
      </c>
      <c r="S23" s="3">
        <v>3.448315626755357</v>
      </c>
      <c r="T23" s="3">
        <v>3.4487452771303788</v>
      </c>
      <c r="U23" s="3">
        <v>3.0741509478422082</v>
      </c>
      <c r="V23" s="3">
        <v>2.549820749827151</v>
      </c>
      <c r="W23" s="3">
        <v>2.0953364457668173</v>
      </c>
      <c r="X23" s="3">
        <v>1.77912264181383</v>
      </c>
      <c r="Y23" s="3">
        <v>1.663028390625674</v>
      </c>
      <c r="Z23" s="3">
        <v>1.6285047346861206</v>
      </c>
    </row>
    <row r="24" spans="1:26" x14ac:dyDescent="0.3">
      <c r="A24">
        <v>18</v>
      </c>
      <c r="B24" s="2" t="s">
        <v>23</v>
      </c>
      <c r="C24" s="2">
        <v>1.8559313116892262</v>
      </c>
      <c r="D24" s="2">
        <v>3.5649105318478846</v>
      </c>
      <c r="E24" s="2">
        <v>3.7936977636449671</v>
      </c>
      <c r="F24" s="2">
        <v>3.7594871794845344</v>
      </c>
      <c r="G24" s="2">
        <v>3.7094550198048002</v>
      </c>
      <c r="H24" s="2">
        <v>3.690178712735714</v>
      </c>
      <c r="I24" s="2">
        <v>3.6894778542464342</v>
      </c>
      <c r="J24" s="2">
        <v>3.67150032373095</v>
      </c>
      <c r="K24" s="2">
        <v>4.5367353886793333</v>
      </c>
      <c r="L24" s="2">
        <v>9.6327043414732714</v>
      </c>
      <c r="M24" s="2">
        <v>10.475785070964346</v>
      </c>
      <c r="N24" s="2">
        <v>10.348690499951964</v>
      </c>
      <c r="O24" s="2">
        <v>10.231955054539249</v>
      </c>
      <c r="P24" s="2">
        <v>7.2495354397180858</v>
      </c>
      <c r="Q24" s="2">
        <v>9.8686513408764132</v>
      </c>
      <c r="R24" s="2">
        <v>10.701311507465864</v>
      </c>
      <c r="S24" s="2">
        <v>9.9250675502114127</v>
      </c>
      <c r="T24" s="2">
        <v>9.7000846586977971</v>
      </c>
      <c r="U24" s="2">
        <v>7.4598279211307741</v>
      </c>
      <c r="V24" s="2">
        <v>5.2447526245917144</v>
      </c>
      <c r="W24" s="2">
        <v>4.5746788985216762</v>
      </c>
      <c r="X24" s="2">
        <v>4.1418105251008743</v>
      </c>
      <c r="Y24" s="2">
        <v>3.9304352375574014</v>
      </c>
      <c r="Z24" s="2">
        <v>3.8249466097376499</v>
      </c>
    </row>
    <row r="25" spans="1:26" x14ac:dyDescent="0.3">
      <c r="A25">
        <v>19</v>
      </c>
      <c r="B25" s="2" t="s">
        <v>25</v>
      </c>
      <c r="C25" s="2">
        <v>3.9849655047572892</v>
      </c>
      <c r="D25" s="2">
        <v>7.7696170092474501</v>
      </c>
      <c r="E25" s="2">
        <v>8.7822646967628426</v>
      </c>
      <c r="F25" s="2">
        <v>8.7385821137855295</v>
      </c>
      <c r="G25" s="2">
        <v>8.6729575409392137</v>
      </c>
      <c r="H25" s="2">
        <v>8.4959080557256836</v>
      </c>
      <c r="I25" s="2">
        <v>8.8291566142116693</v>
      </c>
      <c r="J25" s="2">
        <v>9.3363605364197824</v>
      </c>
      <c r="K25" s="2">
        <v>10.871234764741812</v>
      </c>
      <c r="L25" s="2">
        <v>14.951913764764523</v>
      </c>
      <c r="M25" s="2">
        <v>17.653367089822826</v>
      </c>
      <c r="N25" s="2">
        <v>17.198948200005461</v>
      </c>
      <c r="O25" s="2">
        <v>17.1888724217199</v>
      </c>
      <c r="P25" s="2">
        <v>16.291734452069548</v>
      </c>
      <c r="Q25" s="2">
        <v>16.577837403712234</v>
      </c>
      <c r="R25" s="2">
        <v>16.179147280463877</v>
      </c>
      <c r="S25" s="2">
        <v>16.515419390413072</v>
      </c>
      <c r="T25" s="2">
        <v>16.03657142955716</v>
      </c>
      <c r="U25" s="2">
        <v>14.448127000577864</v>
      </c>
      <c r="V25" s="2">
        <v>12.807333352029787</v>
      </c>
      <c r="W25" s="2">
        <v>11.541384634604823</v>
      </c>
      <c r="X25" s="2">
        <v>10.727064099401796</v>
      </c>
      <c r="Y25" s="2">
        <v>9.5646130152589084</v>
      </c>
      <c r="Z25" s="2">
        <v>9.2374000269633072</v>
      </c>
    </row>
    <row r="26" spans="1:26" x14ac:dyDescent="0.3">
      <c r="A26">
        <v>20</v>
      </c>
      <c r="B26" s="3" t="s">
        <v>26</v>
      </c>
      <c r="C26" s="3">
        <v>2.3809046340898208</v>
      </c>
      <c r="D26" s="3">
        <v>4.3627247958157307</v>
      </c>
      <c r="E26" s="3">
        <v>4.6482185884251619</v>
      </c>
      <c r="F26" s="3">
        <v>4.6309945303234246</v>
      </c>
      <c r="G26" s="3">
        <v>4.5872786898430578</v>
      </c>
      <c r="H26" s="3">
        <v>4.6249617479863714</v>
      </c>
      <c r="I26" s="3">
        <v>4.7481318731884379</v>
      </c>
      <c r="J26" s="3">
        <v>6.3333698847522477</v>
      </c>
      <c r="K26" s="3">
        <v>7.3001205561912208</v>
      </c>
      <c r="L26" s="3">
        <v>7.8449972577290978</v>
      </c>
      <c r="M26" s="3">
        <v>7.7357166164252682</v>
      </c>
      <c r="N26" s="3">
        <v>7.6863651058004727</v>
      </c>
      <c r="O26" s="3">
        <v>7.6231208934888732</v>
      </c>
      <c r="P26" s="3">
        <v>7.5838251556855081</v>
      </c>
      <c r="Q26" s="3">
        <v>7.5106191615535804</v>
      </c>
      <c r="R26" s="3">
        <v>7.4818121524146903</v>
      </c>
      <c r="S26" s="3">
        <v>7.5044821993945394</v>
      </c>
      <c r="T26" s="3">
        <v>7.3331129465549783</v>
      </c>
      <c r="U26" s="3">
        <v>6.9635506832436338</v>
      </c>
      <c r="V26" s="3">
        <v>6.3835178113963504</v>
      </c>
      <c r="W26" s="3">
        <v>5.3580869572318122</v>
      </c>
      <c r="X26" s="3">
        <v>5.0349011015106031</v>
      </c>
      <c r="Y26" s="3">
        <v>4.9250109888367604</v>
      </c>
      <c r="Z26" s="3">
        <v>4.7932307674334602</v>
      </c>
    </row>
    <row r="27" spans="1:26" x14ac:dyDescent="0.3">
      <c r="A27">
        <v>21</v>
      </c>
      <c r="B27" s="2" t="s">
        <v>27</v>
      </c>
      <c r="C27" s="2">
        <v>1.7471007959048241</v>
      </c>
      <c r="D27" s="2">
        <v>3.497703453488902</v>
      </c>
      <c r="E27" s="2">
        <v>3.7517409787593516</v>
      </c>
      <c r="F27" s="2">
        <v>3.7144404288134791</v>
      </c>
      <c r="G27" s="2">
        <v>3.6141809619294953</v>
      </c>
      <c r="H27" s="2">
        <v>3.6301405617310833</v>
      </c>
      <c r="I27" s="2">
        <v>3.637013320679952</v>
      </c>
      <c r="J27" s="2">
        <v>4.0058575196891715</v>
      </c>
      <c r="K27" s="2">
        <v>4.6964104289603279</v>
      </c>
      <c r="L27" s="2">
        <v>5.0424069729440379</v>
      </c>
      <c r="M27" s="2">
        <v>5.0280491281636266</v>
      </c>
      <c r="N27" s="2">
        <v>5.1534566071320596</v>
      </c>
      <c r="O27" s="2">
        <v>5.1077104788355516</v>
      </c>
      <c r="P27" s="2">
        <v>5.1657636228099761</v>
      </c>
      <c r="Q27" s="2">
        <v>5.1734211900915996</v>
      </c>
      <c r="R27" s="2">
        <v>5.1556750381749268</v>
      </c>
      <c r="S27" s="2">
        <v>5.1909920812441133</v>
      </c>
      <c r="T27" s="2">
        <v>5.0713786714316038</v>
      </c>
      <c r="U27" s="2">
        <v>4.7370200453459645</v>
      </c>
      <c r="V27" s="2">
        <v>4.0888950865855502</v>
      </c>
      <c r="W27" s="2">
        <v>3.813125328920937</v>
      </c>
      <c r="X27" s="2">
        <v>3.7101254963725729</v>
      </c>
      <c r="Y27" s="2">
        <v>3.6920119600755688</v>
      </c>
      <c r="Z27" s="2">
        <v>3.733495338480596</v>
      </c>
    </row>
    <row r="28" spans="1:26" x14ac:dyDescent="0.3">
      <c r="A28">
        <v>22</v>
      </c>
      <c r="B28" s="3" t="s">
        <v>28</v>
      </c>
      <c r="C28" s="3">
        <v>3.3753916434181033</v>
      </c>
      <c r="D28" s="3">
        <v>6.7958563860517334</v>
      </c>
      <c r="E28" s="3">
        <v>7.333747843950075</v>
      </c>
      <c r="F28" s="3">
        <v>7.2616817908457971</v>
      </c>
      <c r="G28" s="3">
        <v>7.1713174644583146</v>
      </c>
      <c r="H28" s="3">
        <v>7.0541871069362072</v>
      </c>
      <c r="I28" s="3">
        <v>6.9989011988466778</v>
      </c>
      <c r="J28" s="3">
        <v>8.5541087582610764</v>
      </c>
      <c r="K28" s="3">
        <v>11.380042260367665</v>
      </c>
      <c r="L28" s="3">
        <v>12.616903651839497</v>
      </c>
      <c r="M28" s="3">
        <v>13.815953195590195</v>
      </c>
      <c r="N28" s="3">
        <v>14.61979985986523</v>
      </c>
      <c r="O28" s="3">
        <v>15.080473025776334</v>
      </c>
      <c r="P28" s="3">
        <v>14.839388463102162</v>
      </c>
      <c r="Q28" s="3">
        <v>15.014181697224736</v>
      </c>
      <c r="R28" s="3">
        <v>15.245834855711728</v>
      </c>
      <c r="S28" s="3">
        <v>15.098008190784354</v>
      </c>
      <c r="T28" s="3">
        <v>14.43063859986918</v>
      </c>
      <c r="U28" s="3">
        <v>13.511379166525199</v>
      </c>
      <c r="V28" s="3">
        <v>10.601197722243155</v>
      </c>
      <c r="W28" s="3">
        <v>8.1855534935268697</v>
      </c>
      <c r="X28" s="3">
        <v>7.5144222522398989</v>
      </c>
      <c r="Y28" s="3">
        <v>7.4700327283750987</v>
      </c>
      <c r="Z28" s="3">
        <v>7.5573306576846013</v>
      </c>
    </row>
    <row r="29" spans="1:26" x14ac:dyDescent="0.3">
      <c r="A29">
        <v>23</v>
      </c>
      <c r="B29" s="3" t="s">
        <v>30</v>
      </c>
      <c r="C29" s="3">
        <v>5.4227070989030777</v>
      </c>
      <c r="D29" s="3">
        <v>8.5721211866898965</v>
      </c>
      <c r="E29" s="3">
        <v>9.0718383500070274</v>
      </c>
      <c r="F29" s="3">
        <v>8.9451313163294941</v>
      </c>
      <c r="G29" s="3">
        <v>8.6183030388571993</v>
      </c>
      <c r="H29" s="3">
        <v>8.7438788028678509</v>
      </c>
      <c r="I29" s="3">
        <v>8.7572121427516745</v>
      </c>
      <c r="J29" s="3">
        <v>8.5303030351195677</v>
      </c>
      <c r="K29" s="3">
        <v>9.3931313331681086</v>
      </c>
      <c r="L29" s="3">
        <v>16.132484859890408</v>
      </c>
      <c r="M29" s="3">
        <v>20.196646468807955</v>
      </c>
      <c r="N29" s="3">
        <v>19.27653060154039</v>
      </c>
      <c r="O29" s="3">
        <v>18.8491836664628</v>
      </c>
      <c r="P29" s="3">
        <v>17.535798010199962</v>
      </c>
      <c r="Q29" s="3">
        <v>17.615876291216033</v>
      </c>
      <c r="R29" s="3">
        <v>19.197278357043707</v>
      </c>
      <c r="S29" s="3">
        <v>17.656326581020743</v>
      </c>
      <c r="T29" s="3">
        <v>16.80255667696294</v>
      </c>
      <c r="U29" s="3">
        <v>14.657795876872784</v>
      </c>
      <c r="V29" s="3">
        <v>12.595102018239544</v>
      </c>
      <c r="W29" s="3">
        <v>11.278244850586871</v>
      </c>
      <c r="X29" s="3">
        <v>10.198857103075301</v>
      </c>
      <c r="Y29" s="3">
        <v>9.4522448899794629</v>
      </c>
      <c r="Z29" s="3">
        <v>9.175632681165423</v>
      </c>
    </row>
    <row r="30" spans="1:26" x14ac:dyDescent="0.3">
      <c r="A30">
        <v>24</v>
      </c>
      <c r="B30" s="2" t="s">
        <v>31</v>
      </c>
      <c r="C30" s="2">
        <v>0.43305498719534802</v>
      </c>
      <c r="D30" s="2">
        <v>1.1371550595348039</v>
      </c>
      <c r="E30" s="2">
        <v>1.1905177196821393</v>
      </c>
      <c r="F30" s="2">
        <v>1.1853601461306031</v>
      </c>
      <c r="G30" s="2">
        <v>1.1703464391428544</v>
      </c>
      <c r="H30" s="2">
        <v>1.1284028025918476</v>
      </c>
      <c r="I30" s="2">
        <v>1.1195827043244153</v>
      </c>
      <c r="J30" s="2">
        <v>1.0947595498800617</v>
      </c>
      <c r="K30" s="2">
        <v>1.1550233614413399</v>
      </c>
      <c r="L30" s="2">
        <v>1.3497064908982195</v>
      </c>
      <c r="M30" s="2">
        <v>1.6320355446500419</v>
      </c>
      <c r="N30" s="2">
        <v>1.7242390264493495</v>
      </c>
      <c r="O30" s="2">
        <v>1.7230241605319554</v>
      </c>
      <c r="P30" s="2">
        <v>1.6254580995116514</v>
      </c>
      <c r="Q30" s="2">
        <v>1.5722855827048103</v>
      </c>
      <c r="R30" s="2">
        <v>1.6078453703705842</v>
      </c>
      <c r="S30" s="2">
        <v>1.578747686420334</v>
      </c>
      <c r="T30" s="2">
        <v>1.4665845687835233</v>
      </c>
      <c r="U30" s="2">
        <v>1.2921597030097682</v>
      </c>
      <c r="V30" s="2">
        <v>1.1456542730835166</v>
      </c>
      <c r="W30" s="2">
        <v>1.0517320893128772</v>
      </c>
      <c r="X30" s="2">
        <v>1.0393680282878184</v>
      </c>
      <c r="Y30" s="2">
        <v>1.0712276100697529</v>
      </c>
      <c r="Z30" s="2">
        <v>1.1623771078890062</v>
      </c>
    </row>
  </sheetData>
  <autoFilter ref="B3:Z30" xr:uid="{AAE50F88-0EC8-4D46-AC21-6E40BAB8BE01}"/>
  <conditionalFormatting sqref="C4:G3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{5C36BB6A-A098-4737-BEF8-A8C6B0B47F68}</x14:id>
        </ext>
      </extLst>
    </cfRule>
  </conditionalFormatting>
  <conditionalFormatting sqref="V4:Z3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{1F6E1B4F-1370-44F6-AFEB-C0DB8678C023}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36BB6A-A098-4737-BEF8-A8C6B0B47F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C4:G30</xm:sqref>
        </x14:conditionalFormatting>
        <x14:conditionalFormatting xmlns:xm="http://schemas.microsoft.com/office/excel/2006/main">
          <x14:cfRule type="dataBar" id="{1F6E1B4F-1370-44F6-AFEB-C0DB8678C0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V4:Z30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81C70-FD1F-4C63-A686-2FBC236A46E1}">
  <dimension ref="A3:L30"/>
  <sheetViews>
    <sheetView topLeftCell="A11" workbookViewId="0">
      <selection activeCell="O34" sqref="O34"/>
    </sheetView>
  </sheetViews>
  <sheetFormatPr defaultRowHeight="14.4" x14ac:dyDescent="0.3"/>
  <cols>
    <col min="2" max="2" width="27.21875" bestFit="1" customWidth="1"/>
  </cols>
  <sheetData>
    <row r="3" spans="1:12" x14ac:dyDescent="0.3">
      <c r="A3" t="s">
        <v>33</v>
      </c>
      <c r="B3" s="1" t="s">
        <v>0</v>
      </c>
      <c r="C3" s="5" t="s">
        <v>42</v>
      </c>
      <c r="D3" s="5" t="s">
        <v>43</v>
      </c>
      <c r="E3" s="5" t="s">
        <v>44</v>
      </c>
      <c r="F3" s="5" t="s">
        <v>45</v>
      </c>
      <c r="G3" s="5" t="s">
        <v>46</v>
      </c>
      <c r="H3" s="5" t="s">
        <v>47</v>
      </c>
      <c r="I3" s="5" t="s">
        <v>48</v>
      </c>
      <c r="J3" s="5" t="s">
        <v>49</v>
      </c>
      <c r="K3" s="5" t="s">
        <v>50</v>
      </c>
      <c r="L3" s="6" t="s">
        <v>32</v>
      </c>
    </row>
    <row r="4" spans="1:12" x14ac:dyDescent="0.3">
      <c r="B4" s="2" t="s">
        <v>1</v>
      </c>
      <c r="C4" s="2">
        <v>102.35981789336921</v>
      </c>
      <c r="D4" s="2">
        <v>179.67635463770429</v>
      </c>
      <c r="E4" s="2">
        <v>250.79704277998277</v>
      </c>
      <c r="F4" s="2">
        <v>298.47202026715757</v>
      </c>
      <c r="G4" s="4">
        <v>303</v>
      </c>
      <c r="H4" s="2">
        <v>294.33778751243517</v>
      </c>
      <c r="I4" s="2">
        <v>263.54456213803229</v>
      </c>
      <c r="J4" s="2">
        <v>192.50810646988162</v>
      </c>
      <c r="K4" s="2">
        <v>108.46363556777368</v>
      </c>
      <c r="L4">
        <f>SUM(C4:K4)</f>
        <v>1993.1593272663365</v>
      </c>
    </row>
    <row r="5" spans="1:12" x14ac:dyDescent="0.3">
      <c r="B5" s="3" t="s">
        <v>2</v>
      </c>
      <c r="C5" s="3">
        <v>42.987427961071823</v>
      </c>
      <c r="D5" s="3">
        <v>66.233519043990313</v>
      </c>
      <c r="E5" s="3">
        <v>89.758460594845673</v>
      </c>
      <c r="F5" s="3">
        <v>106.40866825580589</v>
      </c>
      <c r="G5" s="3">
        <v>110.4793925122369</v>
      </c>
      <c r="H5" s="3">
        <v>106.13792405430267</v>
      </c>
      <c r="I5" s="3">
        <v>95.588293629054732</v>
      </c>
      <c r="J5" s="3">
        <v>74.23384297365628</v>
      </c>
      <c r="K5" s="3">
        <v>46.494298769665662</v>
      </c>
      <c r="L5">
        <f t="shared" ref="L5:L30" si="0">SUM(C5:K5)</f>
        <v>738.32182779462983</v>
      </c>
    </row>
    <row r="6" spans="1:12" x14ac:dyDescent="0.3">
      <c r="A6">
        <v>0</v>
      </c>
      <c r="B6" s="2" t="s">
        <v>3</v>
      </c>
      <c r="C6" s="2">
        <v>13.54130741873303</v>
      </c>
      <c r="D6" s="2">
        <v>14.725333340641626</v>
      </c>
      <c r="E6" s="2">
        <v>16.661762574045952</v>
      </c>
      <c r="F6" s="2">
        <v>18.245030231923867</v>
      </c>
      <c r="G6" s="2">
        <v>19.830627567816101</v>
      </c>
      <c r="H6" s="2">
        <v>20.578770039876304</v>
      </c>
      <c r="I6" s="2">
        <v>20.769833329518637</v>
      </c>
      <c r="J6" s="2">
        <v>20.862662218087493</v>
      </c>
      <c r="K6" s="2">
        <v>21.328316650390626</v>
      </c>
      <c r="L6">
        <f t="shared" si="0"/>
        <v>166.54364337103365</v>
      </c>
    </row>
    <row r="7" spans="1:12" x14ac:dyDescent="0.3">
      <c r="A7">
        <v>1</v>
      </c>
      <c r="B7" s="3" t="s">
        <v>4</v>
      </c>
      <c r="C7" s="3">
        <v>1.2187879114891543E-2</v>
      </c>
      <c r="D7" s="3">
        <v>1.1915151741016995E-2</v>
      </c>
      <c r="E7" s="3">
        <v>1.7148809693199357E-2</v>
      </c>
      <c r="F7" s="3">
        <v>2.3048780733583168E-2</v>
      </c>
      <c r="G7" s="3">
        <v>2.4622754603735884E-2</v>
      </c>
      <c r="H7" s="3">
        <v>2.0760479114787976E-2</v>
      </c>
      <c r="I7" s="3">
        <v>2.2664670823392876E-2</v>
      </c>
      <c r="J7" s="3">
        <v>2.4714286184115784E-2</v>
      </c>
      <c r="K7" s="3">
        <v>2.2458333540790982E-2</v>
      </c>
      <c r="L7">
        <f t="shared" si="0"/>
        <v>0.17952114554951459</v>
      </c>
    </row>
    <row r="8" spans="1:12" x14ac:dyDescent="0.3">
      <c r="A8">
        <v>2</v>
      </c>
      <c r="B8" s="2" t="s">
        <v>5</v>
      </c>
      <c r="C8" s="2">
        <v>0.62447500340640549</v>
      </c>
      <c r="D8" s="2">
        <v>0.56418420913580203</v>
      </c>
      <c r="E8" s="2">
        <v>0.85682499343529384</v>
      </c>
      <c r="F8" s="2">
        <v>1.0950285630566734</v>
      </c>
      <c r="G8" s="2">
        <v>1.1365000030232799</v>
      </c>
      <c r="H8" s="2">
        <v>1.0851463362938016</v>
      </c>
      <c r="I8" s="2">
        <v>1.0306410250755467</v>
      </c>
      <c r="J8" s="2">
        <v>1.0047631687239595</v>
      </c>
      <c r="K8" s="2">
        <v>1.1883513488479562</v>
      </c>
      <c r="L8">
        <f t="shared" si="0"/>
        <v>8.5859146509987188</v>
      </c>
    </row>
    <row r="9" spans="1:12" x14ac:dyDescent="0.3">
      <c r="A9">
        <v>3</v>
      </c>
      <c r="B9" s="3" t="s">
        <v>6</v>
      </c>
      <c r="C9" s="3">
        <v>8.9196310841204784</v>
      </c>
      <c r="D9" s="3">
        <v>13.352357906887406</v>
      </c>
      <c r="E9" s="3">
        <v>18.351643045743305</v>
      </c>
      <c r="F9" s="3">
        <v>19.754222234799748</v>
      </c>
      <c r="G9" s="3">
        <v>19.797361582241312</v>
      </c>
      <c r="H9" s="3">
        <v>17.873578931155958</v>
      </c>
      <c r="I9" s="3">
        <v>17.798010594314999</v>
      </c>
      <c r="J9" s="3">
        <v>18.854960179060143</v>
      </c>
      <c r="K9" s="3">
        <v>18.50070713558738</v>
      </c>
      <c r="L9">
        <f t="shared" si="0"/>
        <v>153.20247269391075</v>
      </c>
    </row>
    <row r="10" spans="1:12" x14ac:dyDescent="0.3">
      <c r="A10">
        <v>4</v>
      </c>
      <c r="B10" s="2" t="s">
        <v>7</v>
      </c>
      <c r="C10" s="2">
        <v>6.2818794527939259</v>
      </c>
      <c r="D10" s="2">
        <v>10.189866627289705</v>
      </c>
      <c r="E10" s="2">
        <v>14.534941890007309</v>
      </c>
      <c r="F10" s="2">
        <v>15.407063375735223</v>
      </c>
      <c r="G10" s="2">
        <v>15.380825205366254</v>
      </c>
      <c r="H10" s="2">
        <v>14.735653209010987</v>
      </c>
      <c r="I10" s="2">
        <v>14.247459545890674</v>
      </c>
      <c r="J10" s="2">
        <v>14.351304440655642</v>
      </c>
      <c r="K10" s="2">
        <v>13.608772966943194</v>
      </c>
      <c r="L10">
        <f t="shared" si="0"/>
        <v>118.73776671369291</v>
      </c>
    </row>
    <row r="11" spans="1:12" x14ac:dyDescent="0.3">
      <c r="A11">
        <v>5</v>
      </c>
      <c r="B11" s="3" t="s">
        <v>8</v>
      </c>
      <c r="C11" s="3">
        <v>8.3735185508504735</v>
      </c>
      <c r="D11" s="3">
        <v>8.9086002395415651</v>
      </c>
      <c r="E11" s="3">
        <v>9.4691865883598272</v>
      </c>
      <c r="F11" s="3">
        <v>9.9920000102617834</v>
      </c>
      <c r="G11" s="3">
        <v>10.215561989797941</v>
      </c>
      <c r="H11" s="3">
        <v>10.326859216236036</v>
      </c>
      <c r="I11" s="3">
        <v>10.229506615365526</v>
      </c>
      <c r="J11" s="3">
        <v>10.270701922431519</v>
      </c>
      <c r="K11" s="3">
        <v>9.9235336608387748</v>
      </c>
      <c r="L11">
        <f t="shared" si="0"/>
        <v>87.709468793683442</v>
      </c>
    </row>
    <row r="12" spans="1:12" x14ac:dyDescent="0.3">
      <c r="A12">
        <v>6</v>
      </c>
      <c r="B12" s="3" t="s">
        <v>10</v>
      </c>
      <c r="C12" s="3">
        <v>2.0031884853208854</v>
      </c>
      <c r="D12" s="3">
        <v>2.1595295771728318</v>
      </c>
      <c r="E12" s="3">
        <v>2.75807582117362</v>
      </c>
      <c r="F12" s="3">
        <v>3.0125443961232725</v>
      </c>
      <c r="G12" s="3">
        <v>3.0592510941564139</v>
      </c>
      <c r="H12" s="3">
        <v>3.0966709958505985</v>
      </c>
      <c r="I12" s="3">
        <v>3.0789942569581079</v>
      </c>
      <c r="J12" s="3">
        <v>2.9830815442569638</v>
      </c>
      <c r="K12" s="3">
        <v>3.0299799397933351</v>
      </c>
      <c r="L12">
        <f t="shared" si="0"/>
        <v>25.18131611080603</v>
      </c>
    </row>
    <row r="13" spans="1:12" x14ac:dyDescent="0.3">
      <c r="A13">
        <v>7</v>
      </c>
      <c r="B13" s="2" t="s">
        <v>11</v>
      </c>
      <c r="C13" s="2">
        <v>3.2305145897267669</v>
      </c>
      <c r="D13" s="2">
        <v>3.6089561781085346</v>
      </c>
      <c r="E13" s="2">
        <v>4.141857136612531</v>
      </c>
      <c r="F13" s="2">
        <v>4.492495337235785</v>
      </c>
      <c r="G13" s="2">
        <v>4.6679784958000461</v>
      </c>
      <c r="H13" s="2">
        <v>4.7381119926373163</v>
      </c>
      <c r="I13" s="2">
        <v>4.5975172358419281</v>
      </c>
      <c r="J13" s="2">
        <v>4.576355913008352</v>
      </c>
      <c r="K13" s="2">
        <v>4.5482228121643677</v>
      </c>
      <c r="L13">
        <f t="shared" si="0"/>
        <v>38.602009691135628</v>
      </c>
    </row>
    <row r="14" spans="1:12" x14ac:dyDescent="0.3">
      <c r="A14">
        <v>8</v>
      </c>
      <c r="B14" s="3" t="s">
        <v>12</v>
      </c>
      <c r="C14" s="3">
        <v>13.455486023226264</v>
      </c>
      <c r="D14" s="3">
        <v>14.718326368757538</v>
      </c>
      <c r="E14" s="3">
        <v>15.283754878347965</v>
      </c>
      <c r="F14" s="3">
        <v>16.347775882950017</v>
      </c>
      <c r="G14" s="3">
        <v>17.182881122202307</v>
      </c>
      <c r="H14" s="3">
        <v>17.509068549012806</v>
      </c>
      <c r="I14" s="3">
        <v>17.174208386934978</v>
      </c>
      <c r="J14" s="3">
        <v>16.974361598070733</v>
      </c>
      <c r="K14" s="3">
        <v>16.786298461289586</v>
      </c>
      <c r="L14">
        <f t="shared" si="0"/>
        <v>145.43216127079219</v>
      </c>
    </row>
    <row r="15" spans="1:12" x14ac:dyDescent="0.3">
      <c r="A15">
        <v>9</v>
      </c>
      <c r="B15" s="2" t="s">
        <v>13</v>
      </c>
      <c r="C15" s="2">
        <v>8.4180916927787397</v>
      </c>
      <c r="D15" s="2">
        <v>11.789759790012409</v>
      </c>
      <c r="E15" s="2">
        <v>12.762279464688364</v>
      </c>
      <c r="F15" s="2">
        <v>12.847899567091829</v>
      </c>
      <c r="G15" s="2">
        <v>13.116720532746294</v>
      </c>
      <c r="H15" s="2">
        <v>12.343649115478783</v>
      </c>
      <c r="I15" s="2">
        <v>12.238800873798606</v>
      </c>
      <c r="J15" s="2">
        <v>12.755031094021268</v>
      </c>
      <c r="K15" s="2">
        <v>12.686734511788968</v>
      </c>
      <c r="L15">
        <f t="shared" si="0"/>
        <v>108.95896664240526</v>
      </c>
    </row>
    <row r="16" spans="1:12" x14ac:dyDescent="0.3">
      <c r="A16">
        <v>10</v>
      </c>
      <c r="B16" s="3" t="s">
        <v>14</v>
      </c>
      <c r="C16" s="3">
        <v>6.1971846103668211</v>
      </c>
      <c r="D16" s="3">
        <v>8.4326565302055307</v>
      </c>
      <c r="E16" s="3">
        <v>9.1377710076688814</v>
      </c>
      <c r="F16" s="3">
        <v>9.6797230793879567</v>
      </c>
      <c r="G16" s="3">
        <v>9.5317230481367847</v>
      </c>
      <c r="H16" s="3">
        <v>9.5690156240016222</v>
      </c>
      <c r="I16" s="3">
        <v>9.2646190609250745</v>
      </c>
      <c r="J16" s="3">
        <v>9.6689692607292788</v>
      </c>
      <c r="K16" s="3">
        <v>9.5234045727562364</v>
      </c>
      <c r="L16">
        <f t="shared" si="0"/>
        <v>81.005066794178191</v>
      </c>
    </row>
    <row r="17" spans="1:12" x14ac:dyDescent="0.3">
      <c r="A17">
        <v>11</v>
      </c>
      <c r="B17" s="2" t="s">
        <v>15</v>
      </c>
      <c r="C17" s="2">
        <v>3.8646307294071658</v>
      </c>
      <c r="D17" s="2">
        <v>5.2138398051571562</v>
      </c>
      <c r="E17" s="2">
        <v>5.4855317824640464</v>
      </c>
      <c r="F17" s="2">
        <v>5.5917215468276789</v>
      </c>
      <c r="G17" s="2">
        <v>5.7325650396003445</v>
      </c>
      <c r="H17" s="2">
        <v>5.6324509913693035</v>
      </c>
      <c r="I17" s="2">
        <v>5.4730101069444883</v>
      </c>
      <c r="J17" s="2">
        <v>5.4709858569768128</v>
      </c>
      <c r="K17" s="2">
        <v>5.3157699282998152</v>
      </c>
      <c r="L17">
        <f t="shared" si="0"/>
        <v>47.780505787046806</v>
      </c>
    </row>
    <row r="18" spans="1:12" x14ac:dyDescent="0.3">
      <c r="A18">
        <v>12</v>
      </c>
      <c r="B18" s="2" t="s">
        <v>17</v>
      </c>
      <c r="C18" s="2">
        <v>5.2211504923295857</v>
      </c>
      <c r="D18" s="2">
        <v>6.6560911501685389</v>
      </c>
      <c r="E18" s="2">
        <v>7.4569778182885109</v>
      </c>
      <c r="F18" s="2">
        <v>7.9984744769102507</v>
      </c>
      <c r="G18" s="2">
        <v>8.2453566301650767</v>
      </c>
      <c r="H18" s="2">
        <v>7.8078373982596307</v>
      </c>
      <c r="I18" s="2">
        <v>7.7872779336029714</v>
      </c>
      <c r="J18" s="2">
        <v>8.0012840543386794</v>
      </c>
      <c r="K18" s="2">
        <v>8.098505397544999</v>
      </c>
      <c r="L18">
        <f t="shared" si="0"/>
        <v>67.272955351608246</v>
      </c>
    </row>
    <row r="19" spans="1:12" x14ac:dyDescent="0.3">
      <c r="A19">
        <v>13</v>
      </c>
      <c r="B19" s="3" t="s">
        <v>18</v>
      </c>
      <c r="C19" s="3">
        <v>6.5577653455001679</v>
      </c>
      <c r="D19" s="3">
        <v>12.694934856283766</v>
      </c>
      <c r="E19" s="3">
        <v>20.251920676434008</v>
      </c>
      <c r="F19" s="3">
        <v>22.188872474786582</v>
      </c>
      <c r="G19" s="3">
        <v>23.037123612808376</v>
      </c>
      <c r="H19" s="3">
        <v>22.073874258313861</v>
      </c>
      <c r="I19" s="3">
        <v>22.326727268709377</v>
      </c>
      <c r="J19" s="3">
        <v>23.064247872460058</v>
      </c>
      <c r="K19" s="3">
        <v>22.654569808331281</v>
      </c>
      <c r="L19">
        <f t="shared" si="0"/>
        <v>174.85003617362744</v>
      </c>
    </row>
    <row r="20" spans="1:12" x14ac:dyDescent="0.3">
      <c r="A20">
        <v>14</v>
      </c>
      <c r="B20" s="2" t="s">
        <v>19</v>
      </c>
      <c r="C20" s="2">
        <v>0.35492263599845947</v>
      </c>
      <c r="D20" s="2">
        <v>0.5275386829131995</v>
      </c>
      <c r="E20" s="2">
        <v>1.1780254930975418</v>
      </c>
      <c r="F20" s="2">
        <v>1.4103892045942219</v>
      </c>
      <c r="G20" s="2">
        <v>1.4238535207342093</v>
      </c>
      <c r="H20" s="2">
        <v>1.3730903964300276</v>
      </c>
      <c r="I20" s="2">
        <v>1.3813948866445569</v>
      </c>
      <c r="J20" s="2">
        <v>1.3438895196988967</v>
      </c>
      <c r="K20" s="2">
        <v>1.3218426990919234</v>
      </c>
      <c r="L20">
        <f t="shared" si="0"/>
        <v>10.314947039203037</v>
      </c>
    </row>
    <row r="21" spans="1:12" x14ac:dyDescent="0.3">
      <c r="A21">
        <v>15</v>
      </c>
      <c r="B21" s="3" t="s">
        <v>20</v>
      </c>
      <c r="C21" s="3">
        <v>6.9610740714681842</v>
      </c>
      <c r="D21" s="3">
        <v>8.4579696306301031</v>
      </c>
      <c r="E21" s="3">
        <v>12.802934024409343</v>
      </c>
      <c r="F21" s="3">
        <v>9.8576179692584471</v>
      </c>
      <c r="G21" s="3">
        <v>9.6663265153027016</v>
      </c>
      <c r="H21" s="3">
        <v>9.4128718440724803</v>
      </c>
      <c r="I21" s="3">
        <v>9.1020553409267944</v>
      </c>
      <c r="J21" s="3">
        <v>9.0067724902478474</v>
      </c>
      <c r="K21" s="3">
        <v>9.1116945236980165</v>
      </c>
      <c r="L21">
        <f t="shared" si="0"/>
        <v>84.379316410013928</v>
      </c>
    </row>
    <row r="22" spans="1:12" x14ac:dyDescent="0.3">
      <c r="A22">
        <v>16</v>
      </c>
      <c r="B22" s="2" t="s">
        <v>21</v>
      </c>
      <c r="C22" s="2">
        <v>7.6023079274192691</v>
      </c>
      <c r="D22" s="2">
        <v>9.0475318211658742</v>
      </c>
      <c r="E22" s="2">
        <v>12.744264316406978</v>
      </c>
      <c r="F22" s="2">
        <v>15.645060303854564</v>
      </c>
      <c r="G22" s="2">
        <v>15.483677331631938</v>
      </c>
      <c r="H22" s="2">
        <v>16.098444436088442</v>
      </c>
      <c r="I22" s="2">
        <v>15.932846646720231</v>
      </c>
      <c r="J22" s="2">
        <v>15.034525618339197</v>
      </c>
      <c r="K22" s="2">
        <v>14.33726664346362</v>
      </c>
      <c r="L22">
        <f t="shared" si="0"/>
        <v>121.92592504509012</v>
      </c>
    </row>
    <row r="23" spans="1:12" x14ac:dyDescent="0.3">
      <c r="A23">
        <v>17</v>
      </c>
      <c r="B23" s="3" t="s">
        <v>22</v>
      </c>
      <c r="C23" s="3">
        <v>1.6707343753427266</v>
      </c>
      <c r="D23" s="3">
        <v>2.6018312441185119</v>
      </c>
      <c r="E23" s="3">
        <v>3.4967687517404555</v>
      </c>
      <c r="F23" s="3">
        <v>3.447327094007504</v>
      </c>
      <c r="G23" s="3">
        <v>3.5451572282509236</v>
      </c>
      <c r="H23" s="3">
        <v>3.3004639515869294</v>
      </c>
      <c r="I23" s="3">
        <v>3.3650376170780216</v>
      </c>
      <c r="J23" s="3">
        <v>3.5958589381278494</v>
      </c>
      <c r="K23" s="3">
        <v>3.448315626755357</v>
      </c>
      <c r="L23">
        <f t="shared" si="0"/>
        <v>28.471494827008279</v>
      </c>
    </row>
    <row r="24" spans="1:12" x14ac:dyDescent="0.3">
      <c r="A24">
        <v>18</v>
      </c>
      <c r="B24" s="2" t="s">
        <v>23</v>
      </c>
      <c r="C24" s="2">
        <v>4.5367353886793333</v>
      </c>
      <c r="D24" s="2">
        <v>9.6327043414732714</v>
      </c>
      <c r="E24" s="2">
        <v>10.475785070964346</v>
      </c>
      <c r="F24" s="2">
        <v>10.348690499951964</v>
      </c>
      <c r="G24" s="2">
        <v>10.231955054539249</v>
      </c>
      <c r="H24" s="2">
        <v>7.2495354397180858</v>
      </c>
      <c r="I24" s="2">
        <v>9.8686513408764132</v>
      </c>
      <c r="J24" s="2">
        <v>10.701311507465864</v>
      </c>
      <c r="K24" s="2">
        <v>9.9250675502114127</v>
      </c>
      <c r="L24">
        <f t="shared" si="0"/>
        <v>82.970436193879934</v>
      </c>
    </row>
    <row r="25" spans="1:12" x14ac:dyDescent="0.3">
      <c r="A25">
        <v>19</v>
      </c>
      <c r="B25" s="2" t="s">
        <v>25</v>
      </c>
      <c r="C25" s="2">
        <v>10.871234764741812</v>
      </c>
      <c r="D25" s="2">
        <v>14.951913764764523</v>
      </c>
      <c r="E25" s="2">
        <v>17.653367089822826</v>
      </c>
      <c r="F25" s="2">
        <v>17.198948200005461</v>
      </c>
      <c r="G25" s="2">
        <v>17.1888724217199</v>
      </c>
      <c r="H25" s="2">
        <v>16.291734452069548</v>
      </c>
      <c r="I25" s="2">
        <v>16.577837403712234</v>
      </c>
      <c r="J25" s="2">
        <v>16.179147280463877</v>
      </c>
      <c r="K25" s="2">
        <v>16.515419390413072</v>
      </c>
      <c r="L25">
        <f t="shared" si="0"/>
        <v>143.42847476771328</v>
      </c>
    </row>
    <row r="26" spans="1:12" x14ac:dyDescent="0.3">
      <c r="A26">
        <v>20</v>
      </c>
      <c r="B26" s="3" t="s">
        <v>26</v>
      </c>
      <c r="C26" s="3">
        <v>7.3001205561912208</v>
      </c>
      <c r="D26" s="3">
        <v>7.8449972577290978</v>
      </c>
      <c r="E26" s="3">
        <v>7.7357166164252682</v>
      </c>
      <c r="F26" s="3">
        <v>7.6863651058004727</v>
      </c>
      <c r="G26" s="3">
        <v>7.6231208934888732</v>
      </c>
      <c r="H26" s="3">
        <v>7.5838251556855081</v>
      </c>
      <c r="I26" s="3">
        <v>7.5106191615535804</v>
      </c>
      <c r="J26" s="3">
        <v>7.4818121524146903</v>
      </c>
      <c r="K26" s="3">
        <v>7.5044821993945394</v>
      </c>
      <c r="L26">
        <f t="shared" si="0"/>
        <v>68.271059098683253</v>
      </c>
    </row>
    <row r="27" spans="1:12" x14ac:dyDescent="0.3">
      <c r="A27">
        <v>21</v>
      </c>
      <c r="B27" s="2" t="s">
        <v>27</v>
      </c>
      <c r="C27" s="2">
        <v>4.6964104289603279</v>
      </c>
      <c r="D27" s="2">
        <v>5.0424069729440379</v>
      </c>
      <c r="E27" s="2">
        <v>5.0280491281636266</v>
      </c>
      <c r="F27" s="2">
        <v>5.1534566071320596</v>
      </c>
      <c r="G27" s="2">
        <v>5.1077104788355516</v>
      </c>
      <c r="H27" s="2">
        <v>5.1657636228099761</v>
      </c>
      <c r="I27" s="2">
        <v>5.1734211900915996</v>
      </c>
      <c r="J27" s="2">
        <v>5.1556750381749268</v>
      </c>
      <c r="K27" s="2">
        <v>5.1909920812441133</v>
      </c>
      <c r="L27">
        <f t="shared" si="0"/>
        <v>45.713885548356224</v>
      </c>
    </row>
    <row r="28" spans="1:12" x14ac:dyDescent="0.3">
      <c r="A28">
        <v>22</v>
      </c>
      <c r="B28" s="3" t="s">
        <v>28</v>
      </c>
      <c r="C28" s="3">
        <v>11.380042260367665</v>
      </c>
      <c r="D28" s="3">
        <v>12.616903651839497</v>
      </c>
      <c r="E28" s="3">
        <v>13.815953195590195</v>
      </c>
      <c r="F28" s="3">
        <v>14.61979985986523</v>
      </c>
      <c r="G28" s="3">
        <v>15.080473025776334</v>
      </c>
      <c r="H28" s="3">
        <v>14.839388463102162</v>
      </c>
      <c r="I28" s="3">
        <v>15.014181697224736</v>
      </c>
      <c r="J28" s="3">
        <v>15.245834855711728</v>
      </c>
      <c r="K28" s="3">
        <v>15.098008190784354</v>
      </c>
      <c r="L28">
        <f t="shared" si="0"/>
        <v>127.7105852002619</v>
      </c>
    </row>
    <row r="29" spans="1:12" x14ac:dyDescent="0.3">
      <c r="A29">
        <v>23</v>
      </c>
      <c r="B29" s="3" t="s">
        <v>30</v>
      </c>
      <c r="C29" s="3">
        <v>9.3931313331681086</v>
      </c>
      <c r="D29" s="3">
        <v>16.132484859890408</v>
      </c>
      <c r="E29" s="3">
        <v>20.196646468807955</v>
      </c>
      <c r="F29" s="3">
        <v>19.27653060154039</v>
      </c>
      <c r="G29" s="3">
        <v>18.8491836664628</v>
      </c>
      <c r="H29" s="3">
        <v>17.535798010199962</v>
      </c>
      <c r="I29" s="3">
        <v>17.615876291216033</v>
      </c>
      <c r="J29" s="3">
        <v>19.197278357043707</v>
      </c>
      <c r="K29" s="3">
        <v>17.656326581020743</v>
      </c>
      <c r="L29">
        <f t="shared" si="0"/>
        <v>155.85325616935012</v>
      </c>
    </row>
    <row r="30" spans="1:12" x14ac:dyDescent="0.3">
      <c r="A30">
        <v>24</v>
      </c>
      <c r="B30" s="2" t="s">
        <v>31</v>
      </c>
      <c r="C30" s="2">
        <v>1.1550233614413399</v>
      </c>
      <c r="D30" s="2">
        <v>1.3497064908982195</v>
      </c>
      <c r="E30" s="2">
        <v>1.6320355446500419</v>
      </c>
      <c r="F30" s="2">
        <v>1.7242390264493495</v>
      </c>
      <c r="G30" s="2">
        <v>1.7230241605319554</v>
      </c>
      <c r="H30" s="2">
        <v>1.6254580995116514</v>
      </c>
      <c r="I30" s="2">
        <v>1.5722855827048103</v>
      </c>
      <c r="J30" s="2">
        <v>1.6078453703705842</v>
      </c>
      <c r="K30" s="2">
        <v>1.578747686420334</v>
      </c>
      <c r="L30">
        <f t="shared" si="0"/>
        <v>13.968365322978284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568E-C7CB-465C-A33A-A42BFDD72676}">
  <dimension ref="A1:D32"/>
  <sheetViews>
    <sheetView workbookViewId="0">
      <selection activeCell="B29" sqref="B29"/>
    </sheetView>
  </sheetViews>
  <sheetFormatPr defaultRowHeight="14.4" x14ac:dyDescent="0.3"/>
  <cols>
    <col min="2" max="2" width="27.21875" customWidth="1"/>
    <col min="3" max="3" width="8.88671875" hidden="1" customWidth="1"/>
  </cols>
  <sheetData>
    <row r="1" spans="1:4" x14ac:dyDescent="0.3">
      <c r="A1" s="1" t="s">
        <v>33</v>
      </c>
      <c r="B1" s="1" t="s">
        <v>0</v>
      </c>
      <c r="C1" s="5" t="s">
        <v>32</v>
      </c>
      <c r="D1" s="3" t="s">
        <v>32</v>
      </c>
    </row>
    <row r="2" spans="1:4" x14ac:dyDescent="0.3">
      <c r="A2" s="2"/>
      <c r="B2" s="2" t="s">
        <v>1</v>
      </c>
      <c r="C2" s="3" t="e">
        <f>SUM(#REF!)</f>
        <v>#REF!</v>
      </c>
      <c r="D2" s="3">
        <v>1993.1593272663365</v>
      </c>
    </row>
    <row r="3" spans="1:4" x14ac:dyDescent="0.3">
      <c r="A3" s="3"/>
      <c r="B3" s="3" t="s">
        <v>2</v>
      </c>
      <c r="C3" s="3" t="e">
        <f t="shared" ref="C3" si="0">SUM(#REF!)</f>
        <v>#REF!</v>
      </c>
      <c r="D3" s="3">
        <v>738.32182779462983</v>
      </c>
    </row>
    <row r="4" spans="1:4" x14ac:dyDescent="0.3">
      <c r="A4" s="2">
        <v>0</v>
      </c>
      <c r="B4" s="2" t="s">
        <v>3</v>
      </c>
      <c r="C4" s="3" t="e">
        <f t="shared" ref="C4" si="1">SUM(#REF!)</f>
        <v>#REF!</v>
      </c>
      <c r="D4" s="3">
        <v>166.54364337103365</v>
      </c>
    </row>
    <row r="5" spans="1:4" x14ac:dyDescent="0.3">
      <c r="A5" s="3">
        <v>1</v>
      </c>
      <c r="B5" s="3" t="s">
        <v>4</v>
      </c>
      <c r="C5" s="3" t="e">
        <f t="shared" ref="C5" si="2">SUM(#REF!)</f>
        <v>#REF!</v>
      </c>
      <c r="D5" s="3">
        <v>0.17952114554951459</v>
      </c>
    </row>
    <row r="6" spans="1:4" x14ac:dyDescent="0.3">
      <c r="A6" s="2">
        <v>2</v>
      </c>
      <c r="B6" s="2" t="s">
        <v>5</v>
      </c>
      <c r="C6" s="3" t="e">
        <f t="shared" ref="C6" si="3">SUM(#REF!)</f>
        <v>#REF!</v>
      </c>
      <c r="D6" s="3">
        <v>8.5859146509987188</v>
      </c>
    </row>
    <row r="7" spans="1:4" x14ac:dyDescent="0.3">
      <c r="A7" s="3">
        <v>3</v>
      </c>
      <c r="B7" s="3" t="s">
        <v>6</v>
      </c>
      <c r="C7" s="3" t="e">
        <f t="shared" ref="C7" si="4">SUM(#REF!)</f>
        <v>#REF!</v>
      </c>
      <c r="D7" s="3">
        <v>153.20247269391075</v>
      </c>
    </row>
    <row r="8" spans="1:4" x14ac:dyDescent="0.3">
      <c r="A8" s="2">
        <v>4</v>
      </c>
      <c r="B8" s="2" t="s">
        <v>7</v>
      </c>
      <c r="C8" s="3" t="e">
        <f t="shared" ref="C8" si="5">SUM(#REF!)</f>
        <v>#REF!</v>
      </c>
      <c r="D8" s="3">
        <v>118.73776671369291</v>
      </c>
    </row>
    <row r="9" spans="1:4" x14ac:dyDescent="0.3">
      <c r="A9" s="3">
        <v>5</v>
      </c>
      <c r="B9" s="3" t="s">
        <v>8</v>
      </c>
      <c r="C9" s="3" t="e">
        <f t="shared" ref="C9" si="6">SUM(#REF!)</f>
        <v>#REF!</v>
      </c>
      <c r="D9" s="3">
        <v>87.709468793683442</v>
      </c>
    </row>
    <row r="10" spans="1:4" x14ac:dyDescent="0.3">
      <c r="A10" s="2">
        <v>6</v>
      </c>
      <c r="B10" s="2" t="s">
        <v>9</v>
      </c>
      <c r="C10" s="3" t="e">
        <f t="shared" ref="C10" si="7">SUM(#REF!)</f>
        <v>#REF!</v>
      </c>
      <c r="D10" s="3">
        <v>364.4727263357114</v>
      </c>
    </row>
    <row r="11" spans="1:4" x14ac:dyDescent="0.3">
      <c r="A11" s="3">
        <v>7</v>
      </c>
      <c r="B11" s="3" t="s">
        <v>10</v>
      </c>
      <c r="C11" s="3" t="e">
        <f t="shared" ref="C11" si="8">SUM(#REF!)</f>
        <v>#REF!</v>
      </c>
      <c r="D11" s="3">
        <v>25.18131611080603</v>
      </c>
    </row>
    <row r="12" spans="1:4" x14ac:dyDescent="0.3">
      <c r="A12" s="2">
        <v>8</v>
      </c>
      <c r="B12" s="2" t="s">
        <v>11</v>
      </c>
      <c r="C12" s="3" t="e">
        <f t="shared" ref="C12" si="9">SUM(#REF!)</f>
        <v>#REF!</v>
      </c>
      <c r="D12" s="3">
        <v>38.602009691135628</v>
      </c>
    </row>
    <row r="13" spans="1:4" x14ac:dyDescent="0.3">
      <c r="A13" s="3">
        <v>9</v>
      </c>
      <c r="B13" s="3" t="s">
        <v>12</v>
      </c>
      <c r="C13" s="3" t="e">
        <f t="shared" ref="C13" si="10">SUM(#REF!)</f>
        <v>#REF!</v>
      </c>
      <c r="D13" s="3">
        <v>145.43216127079219</v>
      </c>
    </row>
    <row r="14" spans="1:4" x14ac:dyDescent="0.3">
      <c r="A14" s="2">
        <v>10</v>
      </c>
      <c r="B14" s="2" t="s">
        <v>13</v>
      </c>
      <c r="C14" s="3" t="e">
        <f t="shared" ref="C14" si="11">SUM(#REF!)</f>
        <v>#REF!</v>
      </c>
      <c r="D14" s="3">
        <v>108.95896664240526</v>
      </c>
    </row>
    <row r="15" spans="1:4" x14ac:dyDescent="0.3">
      <c r="A15" s="3">
        <v>11</v>
      </c>
      <c r="B15" s="3" t="s">
        <v>14</v>
      </c>
      <c r="C15" s="3" t="e">
        <f t="shared" ref="C15" si="12">SUM(#REF!)</f>
        <v>#REF!</v>
      </c>
      <c r="D15" s="3">
        <v>81.005066794178191</v>
      </c>
    </row>
    <row r="16" spans="1:4" x14ac:dyDescent="0.3">
      <c r="A16" s="2">
        <v>12</v>
      </c>
      <c r="B16" s="2" t="s">
        <v>15</v>
      </c>
      <c r="C16" s="3" t="e">
        <f t="shared" ref="C16" si="13">SUM(#REF!)</f>
        <v>#REF!</v>
      </c>
      <c r="D16" s="3">
        <v>47.780505787046806</v>
      </c>
    </row>
    <row r="17" spans="1:4" x14ac:dyDescent="0.3">
      <c r="A17" s="3">
        <v>13</v>
      </c>
      <c r="B17" s="3" t="s">
        <v>16</v>
      </c>
      <c r="C17" s="3" t="e">
        <f t="shared" ref="C17" si="14">SUM(#REF!)</f>
        <v>#REF!</v>
      </c>
      <c r="D17" s="3">
        <v>403.14338369121248</v>
      </c>
    </row>
    <row r="18" spans="1:4" x14ac:dyDescent="0.3">
      <c r="A18" s="2">
        <v>14</v>
      </c>
      <c r="B18" s="2" t="s">
        <v>17</v>
      </c>
      <c r="C18" s="3" t="e">
        <f t="shared" ref="C18" si="15">SUM(#REF!)</f>
        <v>#REF!</v>
      </c>
      <c r="D18" s="3">
        <v>67.272955351608246</v>
      </c>
    </row>
    <row r="19" spans="1:4" x14ac:dyDescent="0.3">
      <c r="A19" s="3">
        <v>15</v>
      </c>
      <c r="B19" s="3" t="s">
        <v>18</v>
      </c>
      <c r="C19" s="3" t="e">
        <f t="shared" ref="C19" si="16">SUM(#REF!)</f>
        <v>#REF!</v>
      </c>
      <c r="D19" s="3">
        <v>174.85003617362744</v>
      </c>
    </row>
    <row r="20" spans="1:4" x14ac:dyDescent="0.3">
      <c r="A20" s="2">
        <v>16</v>
      </c>
      <c r="B20" s="2" t="s">
        <v>19</v>
      </c>
      <c r="C20" s="3" t="e">
        <f t="shared" ref="C20" si="17">SUM(#REF!)</f>
        <v>#REF!</v>
      </c>
      <c r="D20" s="3">
        <v>10.314947039203037</v>
      </c>
    </row>
    <row r="21" spans="1:4" x14ac:dyDescent="0.3">
      <c r="A21" s="3">
        <v>17</v>
      </c>
      <c r="B21" s="3" t="s">
        <v>20</v>
      </c>
      <c r="C21" s="3" t="e">
        <f t="shared" ref="C21" si="18">SUM(#REF!)</f>
        <v>#REF!</v>
      </c>
      <c r="D21" s="3">
        <v>84.379316410013928</v>
      </c>
    </row>
    <row r="22" spans="1:4" x14ac:dyDescent="0.3">
      <c r="A22" s="2">
        <v>18</v>
      </c>
      <c r="B22" s="2" t="s">
        <v>21</v>
      </c>
      <c r="C22" s="3" t="e">
        <f t="shared" ref="C22" si="19">SUM(#REF!)</f>
        <v>#REF!</v>
      </c>
      <c r="D22" s="3">
        <v>121.92592504509012</v>
      </c>
    </row>
    <row r="23" spans="1:4" x14ac:dyDescent="0.3">
      <c r="A23" s="3">
        <v>19</v>
      </c>
      <c r="B23" s="3" t="s">
        <v>22</v>
      </c>
      <c r="C23" s="3" t="e">
        <f t="shared" ref="C23" si="20">SUM(#REF!)</f>
        <v>#REF!</v>
      </c>
      <c r="D23" s="3">
        <v>28.471494827008279</v>
      </c>
    </row>
    <row r="24" spans="1:4" x14ac:dyDescent="0.3">
      <c r="A24" s="2">
        <v>20</v>
      </c>
      <c r="B24" s="2" t="s">
        <v>23</v>
      </c>
      <c r="C24" s="3" t="e">
        <f t="shared" ref="C24" si="21">SUM(#REF!)</f>
        <v>#REF!</v>
      </c>
      <c r="D24" s="3">
        <v>82.970436193879934</v>
      </c>
    </row>
    <row r="25" spans="1:4" x14ac:dyDescent="0.3">
      <c r="A25" s="3">
        <v>21</v>
      </c>
      <c r="B25" s="3" t="s">
        <v>24</v>
      </c>
      <c r="C25" s="3" t="e">
        <f t="shared" ref="C25" si="22">SUM(#REF!)</f>
        <v>#REF!</v>
      </c>
      <c r="D25" s="3">
        <v>310.09469557726698</v>
      </c>
    </row>
    <row r="26" spans="1:4" x14ac:dyDescent="0.3">
      <c r="A26" s="2">
        <v>22</v>
      </c>
      <c r="B26" s="2" t="s">
        <v>25</v>
      </c>
      <c r="C26" s="3" t="e">
        <f t="shared" ref="C26" si="23">SUM(#REF!)</f>
        <v>#REF!</v>
      </c>
      <c r="D26" s="3">
        <v>143.42847476771328</v>
      </c>
    </row>
    <row r="27" spans="1:4" x14ac:dyDescent="0.3">
      <c r="A27" s="3">
        <v>23</v>
      </c>
      <c r="B27" s="3" t="s">
        <v>26</v>
      </c>
      <c r="C27" s="3" t="e">
        <f t="shared" ref="C27" si="24">SUM(#REF!)</f>
        <v>#REF!</v>
      </c>
      <c r="D27" s="3">
        <v>68.271059098683253</v>
      </c>
    </row>
    <row r="28" spans="1:4" x14ac:dyDescent="0.3">
      <c r="A28" s="2">
        <v>24</v>
      </c>
      <c r="B28" s="2" t="s">
        <v>27</v>
      </c>
      <c r="C28" s="3" t="e">
        <f t="shared" ref="C28" si="25">SUM(#REF!)</f>
        <v>#REF!</v>
      </c>
      <c r="D28" s="3">
        <v>45.713885548356224</v>
      </c>
    </row>
    <row r="29" spans="1:4" x14ac:dyDescent="0.3">
      <c r="A29" s="3">
        <v>25</v>
      </c>
      <c r="B29" s="3" t="s">
        <v>28</v>
      </c>
      <c r="C29" s="3" t="e">
        <f t="shared" ref="C29" si="26">SUM(#REF!)</f>
        <v>#REF!</v>
      </c>
      <c r="D29" s="3">
        <v>127.7105852002619</v>
      </c>
    </row>
    <row r="30" spans="1:4" x14ac:dyDescent="0.3">
      <c r="A30" s="2">
        <v>26</v>
      </c>
      <c r="B30" s="2" t="s">
        <v>29</v>
      </c>
      <c r="C30" s="3" t="e">
        <f t="shared" ref="C30" si="27">SUM(#REF!)</f>
        <v>#REF!</v>
      </c>
      <c r="D30" s="3">
        <v>220.99063171324042</v>
      </c>
    </row>
    <row r="31" spans="1:4" x14ac:dyDescent="0.3">
      <c r="A31" s="3">
        <v>27</v>
      </c>
      <c r="B31" s="3" t="s">
        <v>30</v>
      </c>
      <c r="C31" s="3" t="e">
        <f t="shared" ref="C31" si="28">SUM(#REF!)</f>
        <v>#REF!</v>
      </c>
      <c r="D31" s="3">
        <v>155.85325616935012</v>
      </c>
    </row>
    <row r="32" spans="1:4" x14ac:dyDescent="0.3">
      <c r="A32" s="2">
        <v>28</v>
      </c>
      <c r="B32" s="2" t="s">
        <v>31</v>
      </c>
      <c r="C32" s="3" t="e">
        <f t="shared" ref="C32" si="29">SUM(#REF!)</f>
        <v>#REF!</v>
      </c>
      <c r="D32" s="3">
        <v>13.968365322978284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full_filtered_data_first</vt:lpstr>
      <vt:lpstr>subset_data_first</vt:lpstr>
      <vt:lpstr>full_filtered_data_second</vt:lpstr>
      <vt:lpstr>subset_data_second</vt:lpstr>
      <vt:lpstr>full_filtered_data_third</vt:lpstr>
      <vt:lpstr>subset_data_third</vt:lpstr>
      <vt:lpstr>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 kundu</dc:creator>
  <cp:lastModifiedBy>akash kundu</cp:lastModifiedBy>
  <dcterms:created xsi:type="dcterms:W3CDTF">2023-09-27T16:47:25Z</dcterms:created>
  <dcterms:modified xsi:type="dcterms:W3CDTF">2023-09-28T10:49:01Z</dcterms:modified>
</cp:coreProperties>
</file>